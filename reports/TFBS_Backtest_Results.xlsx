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ades" sheetId="2" state="visible" r:id="rId2"/>
    <sheet name="Research" sheetId="3" state="visible" r:id="rId3"/>
    <sheet name="Summary" sheetId="4" state="visible" r:id="rId4"/>
    <sheet name="By Instrument" sheetId="5" state="visible" r:id="rId5"/>
    <sheet name="By Pattern" sheetId="6" state="visible" r:id="rId6"/>
    <sheet name="By Grade" sheetId="7" state="visible" r:id="rId7"/>
    <sheet name="Setup Funnel" sheetId="8" state="visible" r:id="rId8"/>
    <sheet name="Risk &amp; Compliance" sheetId="9" state="visible" r:id="rId9"/>
    <sheet name="Equity Curve" sheetId="10" state="visible" r:id="rId10"/>
    <sheet name="Config" sheetId="11" state="visible" r:id="rId11"/>
  </sheets>
  <definedNames>
    <definedName name="_xlnm._FilterDatabase" localSheetId="1" hidden="1">'Trades'!$A$1:$Y$14</definedName>
    <definedName name="_xlnm._FilterDatabase" localSheetId="2" hidden="1">'Research'!$A$1:$H$14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"/>
    <numFmt numFmtId="165" formatCode="$#,##0.00;($#,##0.00);-"/>
    <numFmt numFmtId="166" formatCode="$#,##0;($#,##0);-"/>
    <numFmt numFmtId="167" formatCode="0.0%"/>
    <numFmt numFmtId="168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B4924C"/>
      <sz val="9"/>
    </font>
    <font>
      <name val="Arial"/>
      <b val="1"/>
      <color rgb="000B1B2B"/>
      <sz val="15"/>
    </font>
    <font>
      <name val="Arial"/>
      <i val="1"/>
      <color rgb="004A5568"/>
      <sz val="9"/>
    </font>
    <font>
      <name val="Arial"/>
      <b val="1"/>
      <color rgb="007A1B1B"/>
      <sz val="9"/>
    </font>
    <font>
      <name val="Arial"/>
      <b val="1"/>
      <sz val="9"/>
    </font>
    <font>
      <name val="Arial"/>
      <sz val="9"/>
    </font>
    <font>
      <name val="Arial"/>
      <b val="1"/>
      <color rgb="000B1B2B"/>
      <sz val="11"/>
    </font>
    <font>
      <name val="Arial"/>
      <b val="1"/>
      <color rgb="00FFFFFF"/>
      <sz val="9"/>
    </font>
    <font>
      <name val="Arial"/>
      <i val="1"/>
      <sz val="8"/>
    </font>
    <font>
      <name val="Arial"/>
      <b val="1"/>
      <color rgb="001F7A4D"/>
      <sz val="9"/>
    </font>
    <font>
      <name val="Arial"/>
      <b val="1"/>
      <color rgb="00B03030"/>
      <sz val="9"/>
    </font>
  </fonts>
  <fills count="5">
    <fill>
      <patternFill/>
    </fill>
    <fill>
      <patternFill patternType="gray125"/>
    </fill>
    <fill>
      <patternFill patternType="solid">
        <fgColor rgb="00FDECEA"/>
      </patternFill>
    </fill>
    <fill>
      <patternFill patternType="solid">
        <fgColor rgb="000B1B2B"/>
      </patternFill>
    </fill>
    <fill>
      <patternFill patternType="solid">
        <fgColor rgb="00EDF1F5"/>
      </patternFill>
    </fill>
  </fills>
  <borders count="2">
    <border>
      <left/>
      <right/>
      <top/>
      <bottom/>
      <diagonal/>
    </border>
    <border>
      <left style="thin">
        <color rgb="00D5DBE0"/>
      </left>
      <right style="thin">
        <color rgb="00D5DBE0"/>
      </right>
      <top style="thin">
        <color rgb="00D5DBE0"/>
      </top>
      <bottom style="thin">
        <color rgb="00D5DBE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164" fontId="6" fillId="4" borderId="1" pivotButton="0" quotePrefix="0" xfId="0"/>
    <xf numFmtId="2" fontId="6" fillId="4" borderId="1" pivotButton="0" quotePrefix="0" xfId="0"/>
    <xf numFmtId="10" fontId="6" fillId="4" borderId="1" pivotButton="0" quotePrefix="0" xfId="0"/>
    <xf numFmtId="165" fontId="6" fillId="4" borderId="1" pivotButton="0" quotePrefix="0" xfId="0"/>
    <xf numFmtId="3" fontId="6" fillId="4" borderId="1" pivotButton="0" quotePrefix="0" xfId="0"/>
    <xf numFmtId="0" fontId="6" fillId="0" borderId="1" pivotButton="0" quotePrefix="0" xfId="0"/>
    <xf numFmtId="164" fontId="6" fillId="0" borderId="1" pivotButton="0" quotePrefix="0" xfId="0"/>
    <xf numFmtId="2" fontId="6" fillId="0" borderId="1" pivotButton="0" quotePrefix="0" xfId="0"/>
    <xf numFmtId="10" fontId="6" fillId="0" borderId="1" pivotButton="0" quotePrefix="0" xfId="0"/>
    <xf numFmtId="165" fontId="6" fillId="0" borderId="1" pivotButton="0" quotePrefix="0" xfId="0"/>
    <xf numFmtId="3" fontId="6" fillId="0" borderId="1" pivotButton="0" quotePrefix="0" xfId="0"/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7" fontId="6" fillId="4" borderId="1" pivotButton="0" quotePrefix="0" xfId="0"/>
    <xf numFmtId="166" fontId="6" fillId="0" borderId="1" pivotButton="0" quotePrefix="0" xfId="0"/>
    <xf numFmtId="166" fontId="6" fillId="4" borderId="1" pivotButton="0" quotePrefix="0" xfId="0"/>
    <xf numFmtId="167" fontId="6" fillId="0" borderId="1" pivotButton="0" quotePrefix="0" xfId="0"/>
    <xf numFmtId="168" fontId="6" fillId="0" borderId="1" pivotButton="0" quotePrefix="0" xfId="0"/>
    <xf numFmtId="0" fontId="5" fillId="4" borderId="1" pivotButton="0" quotePrefix="0" xfId="0"/>
    <xf numFmtId="3" fontId="5" fillId="4" borderId="1" pivotButton="0" quotePrefix="0" xfId="0"/>
    <xf numFmtId="167" fontId="5" fillId="4" borderId="1" pivotButton="0" quotePrefix="0" xfId="0"/>
    <xf numFmtId="166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TITAN MARKETS LLC</t>
        </is>
      </c>
    </row>
    <row r="2">
      <c r="A2" s="2" t="inlineStr">
        <is>
          <t>TFBS Portfolio Backtest — Results Workbook</t>
        </is>
      </c>
    </row>
    <row r="3">
      <c r="A3" s="3" t="inlineStr">
        <is>
          <t>Companion to TFBS_Backtest_Report.pdf; same run, same numbers.</t>
        </is>
      </c>
    </row>
    <row r="5">
      <c r="A5" s="4" t="inlineStr">
        <is>
          <t>THIS IS NOT A PERFORMANCE RECORD. This run used deterministic SYNTHETIC price data — textbook formations followed by completed measured moves. Every performance figure in this workbook is a property of that generated price path, not evidence that the strategy has an edge. Do not present it to clients, prospects, program participants or regulators as a track record. Re-run against firm market data before drawing any conclusion.</t>
        </is>
      </c>
    </row>
    <row r="6"/>
    <row r="7"/>
    <row r="9">
      <c r="A9" s="5" t="inlineStr">
        <is>
          <t>Period</t>
        </is>
      </c>
      <c r="B9" s="6" t="inlineStr">
        <is>
          <t>2026-01-05 to 2026-01-19</t>
        </is>
      </c>
    </row>
    <row r="10">
      <c r="A10" s="5" t="inlineStr">
        <is>
          <t>Instruments</t>
        </is>
      </c>
      <c r="B10" s="6" t="inlineStr">
        <is>
          <t>GC, EURUSD, GBPUSD, USDJPY, CL, NQ, ES, RTY</t>
        </is>
      </c>
    </row>
    <row r="11">
      <c r="A11" s="5" t="inlineStr">
        <is>
          <t>Bars processed</t>
        </is>
      </c>
      <c r="B11" s="6" t="inlineStr">
        <is>
          <t>33,840 (5-minute)</t>
        </is>
      </c>
    </row>
    <row r="12">
      <c r="A12" s="5" t="inlineStr">
        <is>
          <t>Data source</t>
        </is>
      </c>
      <c r="B12" s="6" t="inlineStr">
        <is>
          <t>Deterministic synthetic price paths</t>
        </is>
      </c>
    </row>
    <row r="13">
      <c r="A13" s="5" t="inlineStr">
        <is>
          <t>Account</t>
        </is>
      </c>
      <c r="B13" s="6" t="inlineStr">
        <is>
          <t>TITAN-DESK-01 · $500,000 · prop_desk</t>
        </is>
      </c>
    </row>
    <row r="14">
      <c r="A14" s="5" t="inlineStr">
        <is>
          <t>Generated</t>
        </is>
      </c>
      <c r="B14" s="6" t="inlineStr">
        <is>
          <t>2026-08-12 06:05:44 UTC</t>
        </is>
      </c>
    </row>
    <row r="15">
      <c r="A15" s="5" t="inlineStr">
        <is>
          <t>Engine</t>
        </is>
      </c>
      <c r="B15" s="6" t="inlineStr">
        <is>
          <t>titan_tfbs v1.0.0</t>
        </is>
      </c>
    </row>
    <row r="17">
      <c r="A17" s="7" t="inlineStr">
        <is>
          <t>How to read this workbook</t>
        </is>
      </c>
    </row>
    <row r="18" ht="24" customHeight="1">
      <c r="A18" s="5" t="inlineStr">
        <is>
          <t>Trades</t>
        </is>
      </c>
      <c r="B18" s="8" t="inlineStr">
        <is>
          <t>One row per closed trade — the Ch XIII-A journal field set. This is the source of truth; every other sheet computes from it.</t>
        </is>
      </c>
    </row>
    <row r="19" ht="24" customHeight="1">
      <c r="A19" s="5" t="inlineStr">
        <is>
          <t>Research</t>
        </is>
      </c>
      <c r="B19" s="8" t="inlineStr">
        <is>
          <t>Ch XIII-A: why each trade was taken, written by the engine from the objects it decided on — including what was weak about the setup, recorded before the outcome was known.</t>
        </is>
      </c>
    </row>
    <row r="20" ht="24" customHeight="1">
      <c r="A20" s="5" t="inlineStr">
        <is>
          <t>Summary</t>
        </is>
      </c>
      <c r="B20" s="8" t="inlineStr">
        <is>
          <t>Headline metrics, all as live formulas over Trades. Filter or delete rows in Trades and these update.</t>
        </is>
      </c>
    </row>
    <row r="21" ht="24" customHeight="1">
      <c r="A21" s="5" t="inlineStr">
        <is>
          <t>By Instrument</t>
        </is>
      </c>
      <c r="B21" s="8" t="inlineStr">
        <is>
          <t>Per-symbol performance via SUMIFS/COUNTIFS over Trades.</t>
        </is>
      </c>
    </row>
    <row r="22" ht="24" customHeight="1">
      <c r="A22" s="5" t="inlineStr">
        <is>
          <t>By Pattern</t>
        </is>
      </c>
      <c r="B22" s="8" t="inlineStr">
        <is>
          <t>Ch XIII-C review input: which formations paid.</t>
        </is>
      </c>
    </row>
    <row r="23" ht="24" customHeight="1">
      <c r="A23" s="5" t="inlineStr">
        <is>
          <t>By Grade</t>
        </is>
      </c>
      <c r="B23" s="8" t="inlineStr">
        <is>
          <t>Ch XI confluence grade vs outcome — the score-to-outcome check.</t>
        </is>
      </c>
    </row>
    <row r="24" ht="24" customHeight="1">
      <c r="A24" s="5" t="inlineStr">
        <is>
          <t>Setup Funnel</t>
        </is>
      </c>
      <c r="B24" s="8" t="inlineStr">
        <is>
          <t>Why setups were refused. Ch XII-A4 requires the skips to be logged, and they show what the rules actually do.</t>
        </is>
      </c>
    </row>
    <row r="25" ht="24" customHeight="1">
      <c r="A25" s="5" t="inlineStr">
        <is>
          <t>Risk &amp; Compliance</t>
        </is>
      </c>
      <c r="B25" s="8" t="inlineStr">
        <is>
          <t>Peak open risk against the Ch VIII-A cap, and the RMG s.05 account status timeline.</t>
        </is>
      </c>
    </row>
    <row r="26" ht="24" customHeight="1">
      <c r="A26" s="5" t="inlineStr">
        <is>
          <t>Equity Curve</t>
        </is>
      </c>
      <c r="B26" s="8" t="inlineStr">
        <is>
          <t>Sampled equity, with high-water mark and drawdown as formulas.</t>
        </is>
      </c>
    </row>
    <row r="27" ht="24" customHeight="1">
      <c r="A27" s="5" t="inlineStr">
        <is>
          <t>Config</t>
        </is>
      </c>
      <c r="B27" s="8" t="inlineStr">
        <is>
          <t>Every risk parameter the run applied, with its manual citation.</t>
        </is>
      </c>
    </row>
    <row r="29">
      <c r="A29" s="7" t="inlineStr">
        <is>
          <t>Assumptions</t>
        </is>
      </c>
    </row>
    <row r="30" ht="24" customHeight="1">
      <c r="A30" s="6" t="inlineStr">
        <is>
          <t>•</t>
        </is>
      </c>
      <c r="B30" s="8" t="inlineStr">
        <is>
          <t>Fills simulated with a fixed spread, slippage and commission model; real execution will differ, increasingly so with size.</t>
        </is>
      </c>
    </row>
    <row r="31" ht="24" customHeight="1">
      <c r="A31" s="6" t="inlineStr">
        <is>
          <t>•</t>
        </is>
      </c>
      <c r="B31" s="8" t="inlineStr">
        <is>
          <t>A bar spanning both stop and target is assumed to hit the STOP first — deliberately pessimistic, but an assumption.</t>
        </is>
      </c>
    </row>
    <row r="32" ht="24" customHeight="1">
      <c r="A32" s="6" t="inlineStr">
        <is>
          <t>•</t>
        </is>
      </c>
      <c r="B32" s="8" t="inlineStr">
        <is>
          <t>No economic calendar supplied, so the Ch XII-A6 news blackout was inactive.</t>
        </is>
      </c>
    </row>
    <row r="33" ht="24" customHeight="1">
      <c r="A33" s="6" t="inlineStr">
        <is>
          <t>•</t>
        </is>
      </c>
      <c r="B33" s="8" t="inlineStr">
        <is>
          <t>Instruments were replayed interleaved in timestamp order so the Ch VIII-A portfolio caps bind correctly.</t>
        </is>
      </c>
    </row>
    <row r="34" ht="24" customHeight="1">
      <c r="A34" s="6" t="inlineStr">
        <is>
          <t>•</t>
        </is>
      </c>
      <c r="B34" s="8" t="inlineStr">
        <is>
          <t>Order within a shared timestamp is rotated, not fixed: a fixed order gives the same instrument the last slice of the 5% risk headroom at every contested bar. Per-instrument rows are portfolio contributions, not standalone results.</t>
        </is>
      </c>
    </row>
  </sheetData>
  <mergeCells count="1">
    <mergeCell ref="A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9" customWidth="1" min="4" max="4"/>
    <col width="10" customWidth="1" min="5" max="5"/>
    <col width="10" customWidth="1" min="6" max="6"/>
    <col width="8" customWidth="1" min="7" max="7"/>
    <col width="10" customWidth="1" min="8" max="8"/>
    <col width="7" customWidth="1" min="9" max="9"/>
    <col width="17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8" customWidth="1" min="17" max="17"/>
    <col width="10" customWidth="1" min="18" max="18"/>
    <col width="10" customWidth="1" min="19" max="19"/>
    <col width="13" customWidth="1" min="20" max="20"/>
    <col width="8" customWidth="1" min="21" max="21"/>
    <col width="10" customWidth="1" min="22" max="22"/>
    <col width="10" customWidth="1" min="23" max="23"/>
    <col width="9" customWidth="1" min="24" max="24"/>
    <col width="24" customWidth="1" min="25" max="25"/>
  </cols>
  <sheetData>
    <row r="1" ht="26" customHeight="1">
      <c r="A1" s="9" t="inlineStr">
        <is>
          <t>Trade ID</t>
        </is>
      </c>
      <c r="B1" s="9" t="inlineStr">
        <is>
          <t>Symbol</t>
        </is>
      </c>
      <c r="C1" s="9" t="inlineStr">
        <is>
          <t>Asset class</t>
        </is>
      </c>
      <c r="D1" s="9" t="inlineStr">
        <is>
          <t>Direction</t>
        </is>
      </c>
      <c r="E1" s="9" t="inlineStr">
        <is>
          <t>Formation</t>
        </is>
      </c>
      <c r="F1" s="9" t="inlineStr">
        <is>
          <t>Pattern TF</t>
        </is>
      </c>
      <c r="G1" s="9" t="inlineStr">
        <is>
          <t>Method</t>
        </is>
      </c>
      <c r="H1" s="9" t="inlineStr">
        <is>
          <t>Grade</t>
        </is>
      </c>
      <c r="I1" s="9" t="inlineStr">
        <is>
          <t>Score</t>
        </is>
      </c>
      <c r="J1" s="9" t="inlineStr">
        <is>
          <t>Entry time</t>
        </is>
      </c>
      <c r="K1" s="9" t="inlineStr">
        <is>
          <t>Exit time</t>
        </is>
      </c>
      <c r="L1" s="9" t="inlineStr">
        <is>
          <t>Entry</t>
        </is>
      </c>
      <c r="M1" s="9" t="inlineStr">
        <is>
          <t>Stop</t>
        </is>
      </c>
      <c r="N1" s="9" t="inlineStr">
        <is>
          <t>TP1</t>
        </is>
      </c>
      <c r="O1" s="9" t="inlineStr">
        <is>
          <t>TP2</t>
        </is>
      </c>
      <c r="P1" s="9" t="inlineStr">
        <is>
          <t>Size</t>
        </is>
      </c>
      <c r="Q1" s="9" t="inlineStr">
        <is>
          <t>Risk %</t>
        </is>
      </c>
      <c r="R1" s="9" t="inlineStr">
        <is>
          <t>Planned R:R</t>
        </is>
      </c>
      <c r="S1" s="9" t="inlineStr">
        <is>
          <t>Realised R</t>
        </is>
      </c>
      <c r="T1" s="9" t="inlineStr">
        <is>
          <t>P&amp;L</t>
        </is>
      </c>
      <c r="U1" s="9" t="inlineStr">
        <is>
          <t>Result</t>
        </is>
      </c>
      <c r="V1" s="9" t="inlineStr">
        <is>
          <t>Max fav R</t>
        </is>
      </c>
      <c r="W1" s="9" t="inlineStr">
        <is>
          <t>Max adv R</t>
        </is>
      </c>
      <c r="X1" s="9" t="inlineStr">
        <is>
          <t>Bars open</t>
        </is>
      </c>
      <c r="Y1" s="9" t="inlineStr">
        <is>
          <t>Exit reason</t>
        </is>
      </c>
    </row>
    <row r="2">
      <c r="A2" s="10" t="inlineStr">
        <is>
          <t>T00001</t>
        </is>
      </c>
      <c r="B2" s="10" t="inlineStr">
        <is>
          <t>GC</t>
        </is>
      </c>
      <c r="C2" s="10" t="inlineStr">
        <is>
          <t>commodities</t>
        </is>
      </c>
      <c r="D2" s="10" t="inlineStr">
        <is>
          <t>short</t>
        </is>
      </c>
      <c r="E2" s="10" t="inlineStr">
        <is>
          <t>H&amp;S</t>
        </is>
      </c>
      <c r="F2" s="10" t="inlineStr">
        <is>
          <t>1H</t>
        </is>
      </c>
      <c r="G2" s="10" t="inlineStr">
        <is>
          <t>B</t>
        </is>
      </c>
      <c r="H2" s="10" t="inlineStr">
        <is>
          <t>APPROVED</t>
        </is>
      </c>
      <c r="I2" s="10" t="n">
        <v>7</v>
      </c>
      <c r="J2" s="10" t="inlineStr">
        <is>
          <t>2026-01-09 06:15:00</t>
        </is>
      </c>
      <c r="K2" s="10" t="inlineStr">
        <is>
          <t>2026-01-09 19:35:00</t>
        </is>
      </c>
      <c r="L2" s="11" t="n">
        <v>2693.5</v>
      </c>
      <c r="M2" s="11" t="n">
        <v>2695.54191673</v>
      </c>
      <c r="N2" s="11" t="n">
        <v>2634.875698512417</v>
      </c>
      <c r="O2" s="11" t="n">
        <v>2626.841269271137</v>
      </c>
      <c r="P2" s="12" t="n">
        <v>30</v>
      </c>
      <c r="Q2" s="13" t="n">
        <v>0.01214857075933946</v>
      </c>
      <c r="R2" s="12" t="n">
        <v>29.5659945833307</v>
      </c>
      <c r="S2" s="12" t="n">
        <v>28.552</v>
      </c>
      <c r="T2" s="14" t="n">
        <v>174840</v>
      </c>
      <c r="U2" s="10" t="inlineStr">
        <is>
          <t>WIN</t>
        </is>
      </c>
      <c r="V2" s="12" t="n">
        <v>28.857</v>
      </c>
      <c r="W2" s="12" t="n">
        <v>0</v>
      </c>
      <c r="X2" s="15" t="n">
        <v>53</v>
      </c>
      <c r="Y2" s="10" t="inlineStr">
        <is>
          <t>trailing_stop</t>
        </is>
      </c>
    </row>
    <row r="3">
      <c r="A3" s="16" t="inlineStr">
        <is>
          <t>T00002</t>
        </is>
      </c>
      <c r="B3" s="16" t="inlineStr">
        <is>
          <t>NQ</t>
        </is>
      </c>
      <c r="C3" s="16" t="inlineStr">
        <is>
          <t>indices</t>
        </is>
      </c>
      <c r="D3" s="16" t="inlineStr">
        <is>
          <t>short</t>
        </is>
      </c>
      <c r="E3" s="16" t="inlineStr">
        <is>
          <t>H&amp;S</t>
        </is>
      </c>
      <c r="F3" s="16" t="inlineStr">
        <is>
          <t>1H</t>
        </is>
      </c>
      <c r="G3" s="16" t="inlineStr">
        <is>
          <t>B</t>
        </is>
      </c>
      <c r="H3" s="16" t="inlineStr">
        <is>
          <t>APPROVED</t>
        </is>
      </c>
      <c r="I3" s="16" t="n">
        <v>8</v>
      </c>
      <c r="J3" s="16" t="inlineStr">
        <is>
          <t>2026-01-09 06:15:00</t>
        </is>
      </c>
      <c r="K3" s="16" t="inlineStr">
        <is>
          <t>2026-01-09 19:35:00</t>
        </is>
      </c>
      <c r="L3" s="17" t="n">
        <v>21790.75</v>
      </c>
      <c r="M3" s="17" t="n">
        <v>21807.78078217</v>
      </c>
      <c r="N3" s="17" t="n">
        <v>21420.79904146408</v>
      </c>
      <c r="O3" s="17" t="n">
        <v>21341.37812823855</v>
      </c>
      <c r="P3" s="18" t="n">
        <v>18</v>
      </c>
      <c r="Q3" s="19" t="n">
        <v>0.01215614029977709</v>
      </c>
      <c r="R3" s="18" t="n">
        <v>22.1954378116469</v>
      </c>
      <c r="S3" s="18" t="n">
        <v>22.246</v>
      </c>
      <c r="T3" s="20" t="n">
        <v>136359</v>
      </c>
      <c r="U3" s="16" t="inlineStr">
        <is>
          <t>WIN</t>
        </is>
      </c>
      <c r="V3" s="18" t="n">
        <v>23.058</v>
      </c>
      <c r="W3" s="18" t="n">
        <v>0</v>
      </c>
      <c r="X3" s="21" t="n">
        <v>53</v>
      </c>
      <c r="Y3" s="16" t="inlineStr">
        <is>
          <t>trailing_stop</t>
        </is>
      </c>
    </row>
    <row r="4">
      <c r="A4" s="10" t="inlineStr">
        <is>
          <t>T00004</t>
        </is>
      </c>
      <c r="B4" s="10" t="inlineStr">
        <is>
          <t>USDJPY</t>
        </is>
      </c>
      <c r="C4" s="10" t="inlineStr">
        <is>
          <t>forex</t>
        </is>
      </c>
      <c r="D4" s="10" t="inlineStr">
        <is>
          <t>short</t>
        </is>
      </c>
      <c r="E4" s="10" t="inlineStr">
        <is>
          <t>H&amp;S</t>
        </is>
      </c>
      <c r="F4" s="10" t="inlineStr">
        <is>
          <t>1H</t>
        </is>
      </c>
      <c r="G4" s="10" t="inlineStr">
        <is>
          <t>B</t>
        </is>
      </c>
      <c r="H4" s="10" t="inlineStr">
        <is>
          <t>APPROVED</t>
        </is>
      </c>
      <c r="I4" s="10" t="n">
        <v>8</v>
      </c>
      <c r="J4" s="10" t="inlineStr">
        <is>
          <t>2026-01-09 06:15:00</t>
        </is>
      </c>
      <c r="K4" s="10" t="inlineStr">
        <is>
          <t>2026-01-09 20:40:00</t>
        </is>
      </c>
      <c r="L4" s="11" t="n">
        <v>153.59</v>
      </c>
      <c r="M4" s="11" t="n">
        <v>153.67797146</v>
      </c>
      <c r="N4" s="11" t="n">
        <v>151.5468059881127</v>
      </c>
      <c r="O4" s="11" t="n">
        <v>151.147703511896</v>
      </c>
      <c r="P4" s="12" t="n">
        <v>100</v>
      </c>
      <c r="Q4" s="13" t="n">
        <v>0.01202613754298928</v>
      </c>
      <c r="R4" s="12" t="n">
        <v>25.1150460733653</v>
      </c>
      <c r="S4" s="12" t="n">
        <v>23.434</v>
      </c>
      <c r="T4" s="14" t="n">
        <v>133870.98</v>
      </c>
      <c r="U4" s="10" t="inlineStr">
        <is>
          <t>WIN</t>
        </is>
      </c>
      <c r="V4" s="12" t="n">
        <v>24.159</v>
      </c>
      <c r="W4" s="12" t="n">
        <v>0</v>
      </c>
      <c r="X4" s="15" t="n">
        <v>57</v>
      </c>
      <c r="Y4" s="10" t="inlineStr">
        <is>
          <t>trailing_stop</t>
        </is>
      </c>
    </row>
    <row r="5">
      <c r="A5" s="16" t="inlineStr">
        <is>
          <t>T00003</t>
        </is>
      </c>
      <c r="B5" s="16" t="inlineStr">
        <is>
          <t>RTY</t>
        </is>
      </c>
      <c r="C5" s="16" t="inlineStr">
        <is>
          <t>indices</t>
        </is>
      </c>
      <c r="D5" s="16" t="inlineStr">
        <is>
          <t>short</t>
        </is>
      </c>
      <c r="E5" s="16" t="inlineStr">
        <is>
          <t>H&amp;S</t>
        </is>
      </c>
      <c r="F5" s="16" t="inlineStr">
        <is>
          <t>1H</t>
        </is>
      </c>
      <c r="G5" s="16" t="inlineStr">
        <is>
          <t>B</t>
        </is>
      </c>
      <c r="H5" s="16" t="inlineStr">
        <is>
          <t>APPROVED</t>
        </is>
      </c>
      <c r="I5" s="16" t="n">
        <v>8</v>
      </c>
      <c r="J5" s="16" t="inlineStr">
        <is>
          <t>2026-01-09 06:15:00</t>
        </is>
      </c>
      <c r="K5" s="16" t="inlineStr">
        <is>
          <t>2026-01-09 20:45:00</t>
        </is>
      </c>
      <c r="L5" s="17" t="n">
        <v>2334.3</v>
      </c>
      <c r="M5" s="17" t="n">
        <v>2336.09906332</v>
      </c>
      <c r="N5" s="17" t="n">
        <v>2290.67870780676</v>
      </c>
      <c r="O5" s="17" t="n">
        <v>2281.390719755681</v>
      </c>
      <c r="P5" s="18" t="n">
        <v>67</v>
      </c>
      <c r="Q5" s="19" t="n">
        <v>0.01236810011338019</v>
      </c>
      <c r="R5" s="18" t="n">
        <v>24.71955773064132</v>
      </c>
      <c r="S5" s="18" t="n">
        <v>24.574</v>
      </c>
      <c r="T5" s="20" t="n">
        <v>147971</v>
      </c>
      <c r="U5" s="16" t="inlineStr">
        <is>
          <t>WIN</t>
        </is>
      </c>
      <c r="V5" s="18" t="n">
        <v>25.481</v>
      </c>
      <c r="W5" s="18" t="n">
        <v>0</v>
      </c>
      <c r="X5" s="21" t="n">
        <v>58</v>
      </c>
      <c r="Y5" s="16" t="inlineStr">
        <is>
          <t>trailing_stop</t>
        </is>
      </c>
    </row>
    <row r="6">
      <c r="A6" s="10" t="inlineStr">
        <is>
          <t>T00005</t>
        </is>
      </c>
      <c r="B6" s="10" t="inlineStr">
        <is>
          <t>RTY</t>
        </is>
      </c>
      <c r="C6" s="10" t="inlineStr">
        <is>
          <t>indices</t>
        </is>
      </c>
      <c r="D6" s="10" t="inlineStr">
        <is>
          <t>long</t>
        </is>
      </c>
      <c r="E6" s="10" t="inlineStr">
        <is>
          <t>DB</t>
        </is>
      </c>
      <c r="F6" s="10" t="inlineStr">
        <is>
          <t>1H</t>
        </is>
      </c>
      <c r="G6" s="10" t="inlineStr">
        <is>
          <t>B</t>
        </is>
      </c>
      <c r="H6" s="10" t="inlineStr">
        <is>
          <t>ELITE</t>
        </is>
      </c>
      <c r="I6" s="10" t="n">
        <v>9</v>
      </c>
      <c r="J6" s="10" t="inlineStr">
        <is>
          <t>2026-01-14 11:45:00</t>
        </is>
      </c>
      <c r="K6" s="10" t="inlineStr">
        <is>
          <t>2026-01-14 19:05:00</t>
        </is>
      </c>
      <c r="L6" s="11" t="n">
        <v>2233.6</v>
      </c>
      <c r="M6" s="11" t="n">
        <v>2231.44274356</v>
      </c>
      <c r="N6" s="11" t="n">
        <v>2279.701194121781</v>
      </c>
      <c r="O6" s="11" t="n">
        <v>2281.390719755681</v>
      </c>
      <c r="P6" s="12" t="n">
        <v>200</v>
      </c>
      <c r="Q6" s="13" t="n">
        <v>0.01992933271817951</v>
      </c>
      <c r="R6" s="12" t="n">
        <v>21.99819988774066</v>
      </c>
      <c r="S6" s="12" t="n">
        <v>15.483</v>
      </c>
      <c r="T6" s="14" t="n">
        <v>333600</v>
      </c>
      <c r="U6" s="10" t="inlineStr">
        <is>
          <t>WIN</t>
        </is>
      </c>
      <c r="V6" s="12" t="n">
        <v>15.527</v>
      </c>
      <c r="W6" s="12" t="n">
        <v>0</v>
      </c>
      <c r="X6" s="15" t="n">
        <v>29</v>
      </c>
      <c r="Y6" s="10" t="inlineStr">
        <is>
          <t>early_exit_counter_pattern</t>
        </is>
      </c>
    </row>
    <row r="7">
      <c r="A7" s="16" t="inlineStr">
        <is>
          <t>T00006</t>
        </is>
      </c>
      <c r="B7" s="16" t="inlineStr">
        <is>
          <t>EURUSD</t>
        </is>
      </c>
      <c r="C7" s="16" t="inlineStr">
        <is>
          <t>forex</t>
        </is>
      </c>
      <c r="D7" s="16" t="inlineStr">
        <is>
          <t>long</t>
        </is>
      </c>
      <c r="E7" s="16" t="inlineStr">
        <is>
          <t>DB</t>
        </is>
      </c>
      <c r="F7" s="16" t="inlineStr">
        <is>
          <t>1H</t>
        </is>
      </c>
      <c r="G7" s="16" t="inlineStr">
        <is>
          <t>B</t>
        </is>
      </c>
      <c r="H7" s="16" t="inlineStr">
        <is>
          <t>APPROVED</t>
        </is>
      </c>
      <c r="I7" s="16" t="n">
        <v>8</v>
      </c>
      <c r="J7" s="16" t="inlineStr">
        <is>
          <t>2026-01-14 11:45:00</t>
        </is>
      </c>
      <c r="K7" s="16" t="inlineStr">
        <is>
          <t>2026-01-14 19:05:00</t>
        </is>
      </c>
      <c r="L7" s="17" t="n">
        <v>1.0646</v>
      </c>
      <c r="M7" s="17" t="n">
        <v>1.06395753</v>
      </c>
      <c r="N7" s="17" t="n">
        <v>1.078550718324889</v>
      </c>
      <c r="O7" s="17" t="n">
        <v>1.078949543695593</v>
      </c>
      <c r="P7" s="18" t="n">
        <v>100</v>
      </c>
      <c r="Q7" s="19" t="n">
        <v>0.006089805170100884</v>
      </c>
      <c r="R7" s="18" t="n">
        <v>23.49998959926799</v>
      </c>
      <c r="S7" s="18" t="n">
        <v>16.25</v>
      </c>
      <c r="T7" s="20" t="n">
        <v>104050</v>
      </c>
      <c r="U7" s="16" t="inlineStr">
        <is>
          <t>WIN</t>
        </is>
      </c>
      <c r="V7" s="18" t="n">
        <v>16.374</v>
      </c>
      <c r="W7" s="18" t="n">
        <v>0</v>
      </c>
      <c r="X7" s="21" t="n">
        <v>29</v>
      </c>
      <c r="Y7" s="16" t="inlineStr">
        <is>
          <t>early_exit_counter_pattern</t>
        </is>
      </c>
    </row>
    <row r="8">
      <c r="A8" s="10" t="inlineStr">
        <is>
          <t>T00007</t>
        </is>
      </c>
      <c r="B8" s="10" t="inlineStr">
        <is>
          <t>GBPUSD</t>
        </is>
      </c>
      <c r="C8" s="10" t="inlineStr">
        <is>
          <t>forex</t>
        </is>
      </c>
      <c r="D8" s="10" t="inlineStr">
        <is>
          <t>long</t>
        </is>
      </c>
      <c r="E8" s="10" t="inlineStr">
        <is>
          <t>DB</t>
        </is>
      </c>
      <c r="F8" s="10" t="inlineStr">
        <is>
          <t>1H</t>
        </is>
      </c>
      <c r="G8" s="10" t="inlineStr">
        <is>
          <t>B</t>
        </is>
      </c>
      <c r="H8" s="10" t="inlineStr">
        <is>
          <t>APPROVED</t>
        </is>
      </c>
      <c r="I8" s="10" t="n">
        <v>8</v>
      </c>
      <c r="J8" s="10" t="inlineStr">
        <is>
          <t>2026-01-14 11:45:00</t>
        </is>
      </c>
      <c r="K8" s="10" t="inlineStr">
        <is>
          <t>2026-01-14 19:05:00</t>
        </is>
      </c>
      <c r="L8" s="11" t="n">
        <v>1.24615</v>
      </c>
      <c r="M8" s="11" t="n">
        <v>1.24537943</v>
      </c>
      <c r="N8" s="11" t="n">
        <v>1.261794750032556</v>
      </c>
      <c r="O8" s="11" t="n">
        <v>1.262946908266892</v>
      </c>
      <c r="P8" s="12" t="n">
        <v>100</v>
      </c>
      <c r="Q8" s="13" t="n">
        <v>0.007015682620092623</v>
      </c>
      <c r="R8" s="12" t="n">
        <v>22.55669594438175</v>
      </c>
      <c r="S8" s="12" t="n">
        <v>15.495</v>
      </c>
      <c r="T8" s="14" t="n">
        <v>119050</v>
      </c>
      <c r="U8" s="10" t="inlineStr">
        <is>
          <t>WIN</t>
        </is>
      </c>
      <c r="V8" s="12" t="n">
        <v>15.6</v>
      </c>
      <c r="W8" s="12" t="n">
        <v>0</v>
      </c>
      <c r="X8" s="15" t="n">
        <v>29</v>
      </c>
      <c r="Y8" s="10" t="inlineStr">
        <is>
          <t>early_exit_counter_pattern</t>
        </is>
      </c>
    </row>
    <row r="9">
      <c r="A9" s="16" t="inlineStr">
        <is>
          <t>T00008</t>
        </is>
      </c>
      <c r="B9" s="16" t="inlineStr">
        <is>
          <t>GC</t>
        </is>
      </c>
      <c r="C9" s="16" t="inlineStr">
        <is>
          <t>commodities</t>
        </is>
      </c>
      <c r="D9" s="16" t="inlineStr">
        <is>
          <t>long</t>
        </is>
      </c>
      <c r="E9" s="16" t="inlineStr">
        <is>
          <t>DB</t>
        </is>
      </c>
      <c r="F9" s="16" t="inlineStr">
        <is>
          <t>1H</t>
        </is>
      </c>
      <c r="G9" s="16" t="inlineStr">
        <is>
          <t>B</t>
        </is>
      </c>
      <c r="H9" s="16" t="inlineStr">
        <is>
          <t>ELITE</t>
        </is>
      </c>
      <c r="I9" s="16" t="n">
        <v>9</v>
      </c>
      <c r="J9" s="16" t="inlineStr">
        <is>
          <t>2026-01-14 11:45:00</t>
        </is>
      </c>
      <c r="K9" s="16" t="inlineStr">
        <is>
          <t>2026-01-14 22:35:00</t>
        </is>
      </c>
      <c r="L9" s="17" t="n">
        <v>2565.8</v>
      </c>
      <c r="M9" s="17" t="n">
        <v>2562.91497772</v>
      </c>
      <c r="N9" s="17" t="n">
        <v>2625.829657162055</v>
      </c>
      <c r="O9" s="17" t="n">
        <v>2634.576599415961</v>
      </c>
      <c r="P9" s="18" t="n">
        <v>65</v>
      </c>
      <c r="Q9" s="19" t="n">
        <v>0.01673131657846398</v>
      </c>
      <c r="R9" s="18" t="n">
        <v>21.68388531078503</v>
      </c>
      <c r="S9" s="18" t="n">
        <v>16.36</v>
      </c>
      <c r="T9" s="20" t="n">
        <v>306670</v>
      </c>
      <c r="U9" s="16" t="inlineStr">
        <is>
          <t>WIN</t>
        </is>
      </c>
      <c r="V9" s="18" t="n">
        <v>20.304</v>
      </c>
      <c r="W9" s="18" t="n">
        <v>0</v>
      </c>
      <c r="X9" s="21" t="n">
        <v>43</v>
      </c>
      <c r="Y9" s="16" t="inlineStr">
        <is>
          <t>trailing_stop</t>
        </is>
      </c>
    </row>
    <row r="10">
      <c r="A10" s="10" t="inlineStr">
        <is>
          <t>T00009</t>
        </is>
      </c>
      <c r="B10" s="10" t="inlineStr">
        <is>
          <t>EURUSD</t>
        </is>
      </c>
      <c r="C10" s="10" t="inlineStr">
        <is>
          <t>forex</t>
        </is>
      </c>
      <c r="D10" s="10" t="inlineStr">
        <is>
          <t>long</t>
        </is>
      </c>
      <c r="E10" s="10" t="inlineStr">
        <is>
          <t>DB</t>
        </is>
      </c>
      <c r="F10" s="10" t="inlineStr">
        <is>
          <t>1H</t>
        </is>
      </c>
      <c r="G10" s="10" t="inlineStr">
        <is>
          <t>B</t>
        </is>
      </c>
      <c r="H10" s="10" t="inlineStr">
        <is>
          <t>APPROVED</t>
        </is>
      </c>
      <c r="I10" s="10" t="n">
        <v>7</v>
      </c>
      <c r="J10" s="10" t="inlineStr">
        <is>
          <t>2026-01-15 17:15:00</t>
        </is>
      </c>
      <c r="K10" s="10" t="inlineStr">
        <is>
          <t>2026-01-16 04:05:00</t>
        </is>
      </c>
      <c r="L10" s="11" t="n">
        <v>1.06481</v>
      </c>
      <c r="M10" s="11" t="n">
        <v>1.06418362</v>
      </c>
      <c r="N10" s="11" t="n">
        <v>1.078550718324889</v>
      </c>
      <c r="O10" s="11" t="n">
        <v>1.078791083609399</v>
      </c>
      <c r="P10" s="12" t="n">
        <v>100</v>
      </c>
      <c r="Q10" s="13" t="n">
        <v>0.003339698649251304</v>
      </c>
      <c r="R10" s="12" t="n">
        <v>23.62725108120553</v>
      </c>
      <c r="S10" s="12" t="n">
        <v>17.545</v>
      </c>
      <c r="T10" s="14" t="n">
        <v>109550</v>
      </c>
      <c r="U10" s="10" t="inlineStr">
        <is>
          <t>WIN</t>
        </is>
      </c>
      <c r="V10" s="12" t="n">
        <v>19.103</v>
      </c>
      <c r="W10" s="12" t="n">
        <v>0</v>
      </c>
      <c r="X10" s="15" t="n">
        <v>43</v>
      </c>
      <c r="Y10" s="10" t="inlineStr">
        <is>
          <t>early_exit_counter_pattern</t>
        </is>
      </c>
    </row>
    <row r="11">
      <c r="A11" s="16" t="inlineStr">
        <is>
          <t>T00010</t>
        </is>
      </c>
      <c r="B11" s="16" t="inlineStr">
        <is>
          <t>GBPUSD</t>
        </is>
      </c>
      <c r="C11" s="16" t="inlineStr">
        <is>
          <t>forex</t>
        </is>
      </c>
      <c r="D11" s="16" t="inlineStr">
        <is>
          <t>short</t>
        </is>
      </c>
      <c r="E11" s="16" t="inlineStr">
        <is>
          <t>DT</t>
        </is>
      </c>
      <c r="F11" s="16" t="inlineStr">
        <is>
          <t>1H</t>
        </is>
      </c>
      <c r="G11" s="16" t="inlineStr">
        <is>
          <t>B</t>
        </is>
      </c>
      <c r="H11" s="16" t="inlineStr">
        <is>
          <t>ELITE</t>
        </is>
      </c>
      <c r="I11" s="16" t="n">
        <v>9</v>
      </c>
      <c r="J11" s="16" t="inlineStr">
        <is>
          <t>2026-01-19 06:15:00</t>
        </is>
      </c>
      <c r="K11" s="16" t="inlineStr">
        <is>
          <t>2026-01-19 10:05:00</t>
        </is>
      </c>
      <c r="L11" s="17" t="n">
        <v>1.2766</v>
      </c>
      <c r="M11" s="17" t="n">
        <v>1.27733058</v>
      </c>
      <c r="N11" s="17" t="n">
        <v>1.259911506912075</v>
      </c>
      <c r="O11" s="17" t="n">
        <v>1.257867324000639</v>
      </c>
      <c r="P11" s="18" t="n">
        <v>100</v>
      </c>
      <c r="Q11" s="19" t="n">
        <v>0.003524210458391366</v>
      </c>
      <c r="R11" s="18" t="n">
        <v>25.46921401770171</v>
      </c>
      <c r="S11" s="18" t="n">
        <v>9.239000000000001</v>
      </c>
      <c r="T11" s="20" t="n">
        <v>67150</v>
      </c>
      <c r="U11" s="16" t="inlineStr">
        <is>
          <t>WIN</t>
        </is>
      </c>
      <c r="V11" s="18" t="n">
        <v>9.337</v>
      </c>
      <c r="W11" s="18" t="n">
        <v>0</v>
      </c>
      <c r="X11" s="21" t="n">
        <v>15</v>
      </c>
      <c r="Y11" s="16" t="inlineStr">
        <is>
          <t>early_exit_counter_pattern</t>
        </is>
      </c>
    </row>
    <row r="12">
      <c r="A12" s="10" t="inlineStr">
        <is>
          <t>T00011</t>
        </is>
      </c>
      <c r="B12" s="10" t="inlineStr">
        <is>
          <t>GC</t>
        </is>
      </c>
      <c r="C12" s="10" t="inlineStr">
        <is>
          <t>commodities</t>
        </is>
      </c>
      <c r="D12" s="10" t="inlineStr">
        <is>
          <t>short</t>
        </is>
      </c>
      <c r="E12" s="10" t="inlineStr">
        <is>
          <t>DT</t>
        </is>
      </c>
      <c r="F12" s="10" t="inlineStr">
        <is>
          <t>1H</t>
        </is>
      </c>
      <c r="G12" s="10" t="inlineStr">
        <is>
          <t>B</t>
        </is>
      </c>
      <c r="H12" s="10" t="inlineStr">
        <is>
          <t>ELITE</t>
        </is>
      </c>
      <c r="I12" s="10" t="n">
        <v>9</v>
      </c>
      <c r="J12" s="10" t="inlineStr">
        <is>
          <t>2026-01-19 06:15:00</t>
        </is>
      </c>
      <c r="K12" s="10" t="inlineStr">
        <is>
          <t>2026-01-19 16:25:00</t>
        </is>
      </c>
      <c r="L12" s="11" t="n">
        <v>2673.3</v>
      </c>
      <c r="M12" s="11" t="n">
        <v>2675.90099141</v>
      </c>
      <c r="N12" s="11" t="n">
        <v>2615.289553809216</v>
      </c>
      <c r="O12" s="11" t="n">
        <v>2606.007277706712</v>
      </c>
      <c r="P12" s="12" t="n">
        <v>163</v>
      </c>
      <c r="Q12" s="13" t="n">
        <v>0.01992712078650494</v>
      </c>
      <c r="R12" s="12" t="n">
        <v>23.38420591711275</v>
      </c>
      <c r="S12" s="12" t="n">
        <v>21.915</v>
      </c>
      <c r="T12" s="14" t="n">
        <v>928774</v>
      </c>
      <c r="U12" s="10" t="inlineStr">
        <is>
          <t>WIN</t>
        </is>
      </c>
      <c r="V12" s="12" t="n">
        <v>21.991</v>
      </c>
      <c r="W12" s="12" t="n">
        <v>0</v>
      </c>
      <c r="X12" s="15" t="n">
        <v>40</v>
      </c>
      <c r="Y12" s="10" t="inlineStr">
        <is>
          <t>end_of_backtest</t>
        </is>
      </c>
    </row>
    <row r="13">
      <c r="A13" s="16" t="inlineStr">
        <is>
          <t>T00012</t>
        </is>
      </c>
      <c r="B13" s="16" t="inlineStr">
        <is>
          <t>NQ</t>
        </is>
      </c>
      <c r="C13" s="16" t="inlineStr">
        <is>
          <t>indices</t>
        </is>
      </c>
      <c r="D13" s="16" t="inlineStr">
        <is>
          <t>short</t>
        </is>
      </c>
      <c r="E13" s="16" t="inlineStr">
        <is>
          <t>DT</t>
        </is>
      </c>
      <c r="F13" s="16" t="inlineStr">
        <is>
          <t>1H</t>
        </is>
      </c>
      <c r="G13" s="16" t="inlineStr">
        <is>
          <t>B</t>
        </is>
      </c>
      <c r="H13" s="16" t="inlineStr">
        <is>
          <t>ELITE</t>
        </is>
      </c>
      <c r="I13" s="16" t="n">
        <v>9</v>
      </c>
      <c r="J13" s="16" t="inlineStr">
        <is>
          <t>2026-01-19 06:15:00</t>
        </is>
      </c>
      <c r="K13" s="16" t="inlineStr">
        <is>
          <t>2026-01-19 16:25:00</t>
        </is>
      </c>
      <c r="L13" s="17" t="n">
        <v>21655.75</v>
      </c>
      <c r="M13" s="17" t="n">
        <v>21672.3096619</v>
      </c>
      <c r="N13" s="17" t="n">
        <v>21261.55459643985</v>
      </c>
      <c r="O13" s="17" t="n">
        <v>21208.65531204797</v>
      </c>
      <c r="P13" s="18" t="n">
        <v>125</v>
      </c>
      <c r="Q13" s="19" t="n">
        <v>0.0199936638994212</v>
      </c>
      <c r="R13" s="18" t="n">
        <v>24.16503471897071</v>
      </c>
      <c r="S13" s="18" t="n">
        <v>23.536</v>
      </c>
      <c r="T13" s="20" t="n">
        <v>974125</v>
      </c>
      <c r="U13" s="16" t="inlineStr">
        <is>
          <t>WIN</t>
        </is>
      </c>
      <c r="V13" s="18" t="n">
        <v>23.575</v>
      </c>
      <c r="W13" s="18" t="n">
        <v>0</v>
      </c>
      <c r="X13" s="21" t="n">
        <v>40</v>
      </c>
      <c r="Y13" s="16" t="inlineStr">
        <is>
          <t>end_of_backtest</t>
        </is>
      </c>
    </row>
    <row r="14">
      <c r="A14" s="10" t="inlineStr">
        <is>
          <t>T00013</t>
        </is>
      </c>
      <c r="B14" s="10" t="inlineStr">
        <is>
          <t>RTY</t>
        </is>
      </c>
      <c r="C14" s="10" t="inlineStr">
        <is>
          <t>indices</t>
        </is>
      </c>
      <c r="D14" s="10" t="inlineStr">
        <is>
          <t>short</t>
        </is>
      </c>
      <c r="E14" s="10" t="inlineStr">
        <is>
          <t>DT</t>
        </is>
      </c>
      <c r="F14" s="10" t="inlineStr">
        <is>
          <t>1H</t>
        </is>
      </c>
      <c r="G14" s="10" t="inlineStr">
        <is>
          <t>B</t>
        </is>
      </c>
      <c r="H14" s="10" t="inlineStr">
        <is>
          <t>ELITE</t>
        </is>
      </c>
      <c r="I14" s="10" t="n">
        <v>9</v>
      </c>
      <c r="J14" s="10" t="inlineStr">
        <is>
          <t>2026-01-19 06:15:00</t>
        </is>
      </c>
      <c r="K14" s="10" t="inlineStr">
        <is>
          <t>2026-01-19 16:25:00</t>
        </is>
      </c>
      <c r="L14" s="11" t="n">
        <v>2318.3</v>
      </c>
      <c r="M14" s="11" t="n">
        <v>2319.81576787</v>
      </c>
      <c r="N14" s="11" t="n">
        <v>2273.247452256393</v>
      </c>
      <c r="O14" s="11" t="n">
        <v>2272.523020207667</v>
      </c>
      <c r="P14" s="12" t="n">
        <v>183</v>
      </c>
      <c r="Q14" s="13" t="n">
        <v>0.006553643070957699</v>
      </c>
      <c r="R14" s="12" t="n">
        <v>32.26939143601231</v>
      </c>
      <c r="S14" s="12" t="n">
        <v>29.961</v>
      </c>
      <c r="T14" s="14" t="n">
        <v>415174</v>
      </c>
      <c r="U14" s="10" t="inlineStr">
        <is>
          <t>WIN</t>
        </is>
      </c>
      <c r="V14" s="12" t="n">
        <v>30.515</v>
      </c>
      <c r="W14" s="12" t="n">
        <v>0</v>
      </c>
      <c r="X14" s="15" t="n">
        <v>40</v>
      </c>
      <c r="Y14" s="10" t="inlineStr">
        <is>
          <t>end_of_backtest</t>
        </is>
      </c>
    </row>
  </sheetData>
  <autoFilter ref="A1:Y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44" customWidth="1" min="3" max="3"/>
    <col width="96" customWidth="1" min="4" max="4"/>
    <col width="60" customWidth="1" min="5" max="5"/>
    <col width="66" customWidth="1" min="6" max="6"/>
    <col width="10" customWidth="1" min="7" max="7"/>
    <col width="24" customWidth="1" min="8" max="8"/>
  </cols>
  <sheetData>
    <row r="1" ht="26" customHeight="1">
      <c r="A1" s="9" t="inlineStr">
        <is>
          <t>Trade ID</t>
        </is>
      </c>
      <c r="B1" s="9" t="inlineStr">
        <is>
          <t>Symbol</t>
        </is>
      </c>
      <c r="C1" s="9" t="inlineStr">
        <is>
          <t>Setup</t>
        </is>
      </c>
      <c r="D1" s="9" t="inlineStr">
        <is>
          <t>Why it was taken</t>
        </is>
      </c>
      <c r="E1" s="9" t="inlineStr">
        <is>
          <t>Plan</t>
        </is>
      </c>
      <c r="F1" s="9" t="inlineStr">
        <is>
          <t>Flagged at entry</t>
        </is>
      </c>
      <c r="G1" s="9" t="inlineStr">
        <is>
          <t>Realised R</t>
        </is>
      </c>
      <c r="H1" s="9" t="inlineStr">
        <is>
          <t>Exit reason</t>
        </is>
      </c>
    </row>
    <row r="2" ht="110" customHeight="1">
      <c r="A2" s="10" t="inlineStr">
        <is>
          <t>T00001</t>
        </is>
      </c>
      <c r="B2" s="10" t="inlineStr">
        <is>
          <t>GC</t>
        </is>
      </c>
      <c r="C2" s="22" t="inlineStr">
        <is>
          <t>GC SHORT · Head &amp; Shoulders on 1H · APPROVED 7/10</t>
        </is>
      </c>
      <c r="D2" s="22" t="inlineStr">
        <is>
          <t>Screen 1 has no directional bias, so this is traded on the formation alone rather than as a trend continuation (Ch IX). A Head &amp; Shoulders completed on the 1H over 34 bars (three pushes higher, the middle one highest, every one of them sold into), grading textbook on 5 of 5 preferred filters (Ch XI pattern quality 2/2). The 15M closed at 2,692.26, 0.05 ATR through the neckline at 2,692.38 on 1.01x average volume (no surge), then price returned to the level and was rejected by a strong wick. The fill was taken on that rejection, which is the Method B fill the firm defaults to. The measured move projects 2,634.88, worth 29.57R against the stop at 2,695.54; the firm's floor is 2:1 (Ch VIII-A).</t>
        </is>
      </c>
      <c r="E2" s="22" t="inlineStr">
        <is>
          <t>PLAN: 30 contracts @ 2,693.50, SL 2,695.54, TP1 2,634.88 — 1.21% of account (6,074) at risk for 29.57R</t>
        </is>
      </c>
      <c r="F2" s="22" t="inlineStr">
        <is>
          <t>breakout volume 1.01x is below the Ch V-A 1.5x surge threshold; no independent S/R backs the entry or the target (Ch XI); Appendix A [P] missed — Is breakout volume &gt; 1.5x the 20-period average? (1.01x average)</t>
        </is>
      </c>
      <c r="G2" s="12" t="n">
        <v>28.552</v>
      </c>
      <c r="H2" s="10" t="inlineStr">
        <is>
          <t>trailing_stop</t>
        </is>
      </c>
    </row>
    <row r="3" ht="110" customHeight="1">
      <c r="A3" s="16" t="inlineStr">
        <is>
          <t>T00002</t>
        </is>
      </c>
      <c r="B3" s="16" t="inlineStr">
        <is>
          <t>NQ</t>
        </is>
      </c>
      <c r="C3" s="23" t="inlineStr">
        <is>
          <t>NQ SHORT · Head &amp; Shoulders on 1H · APPROVED 8/10</t>
        </is>
      </c>
      <c r="D3" s="23" t="inlineStr">
        <is>
          <t>Screen 1 has no directional bias, so this is traded on the formation alone rather than as a trend continuation (Ch IX). A Head &amp; Shoulders completed on the 1H over 36 bars (three pushes higher, the middle one highest, every one of them sold into), grading textbook on 5 of 5 preferred filters (Ch XI pattern quality 2/2). The 15M closed at 21,735.40, 3.87 ATR through the neckline at 21,796.89 on 2.14x the 20-bar average volume, then price returned to the level and was rejected by a strong wick. The fill was taken on that rejection, which is the Method B fill the firm defaults to. The measured move projects 21,420.80, worth 22.20R against the stop at 21,807.78; the firm's floor is 2:1 (Ch VIII-A).</t>
        </is>
      </c>
      <c r="E3" s="23" t="inlineStr">
        <is>
          <t>PLAN: 18 contracts @ 21,790.75, SL 21,807.78, TP1 21,420.80 — 1.22% of account (6,078) at risk for 22.20R</t>
        </is>
      </c>
      <c r="F3" s="23" t="inlineStr">
        <is>
          <t>no independent S/R backs the entry or the target (Ch XI)</t>
        </is>
      </c>
      <c r="G3" s="18" t="n">
        <v>22.246</v>
      </c>
      <c r="H3" s="16" t="inlineStr">
        <is>
          <t>trailing_stop</t>
        </is>
      </c>
    </row>
    <row r="4" ht="110" customHeight="1">
      <c r="A4" s="10" t="inlineStr">
        <is>
          <t>T00004</t>
        </is>
      </c>
      <c r="B4" s="10" t="inlineStr">
        <is>
          <t>USDJPY</t>
        </is>
      </c>
      <c r="C4" s="22" t="inlineStr">
        <is>
          <t>USDJPY SHORT · Head &amp; Shoulders on 1H · APPROVED 8/10</t>
        </is>
      </c>
      <c r="D4" s="22" t="inlineStr">
        <is>
          <t>Screen 1 has no directional bias, so this is traded on the formation alone rather than as a trend continuation (Ch IX). A Head &amp; Shoulders completed on the 1H over 36 bars (three pushes higher, the middle one highest, every one of them sold into), grading textbook on 5 of 5 preferred filters (Ch XI pattern quality 2/2). The 15M closed at 153.317, 3.66 ATR through the neckline at 153.628 on 2.72x the 20-bar average volume, then price returned to the level and was rejected by a strong wick. The fill was taken on that rejection, which is the Method B fill the firm defaults to. The measured move projects 151.547, worth 25.12R against the stop at 153.678; the firm's floor is 2:1 (Ch VIII-A).</t>
        </is>
      </c>
      <c r="E4" s="22" t="inlineStr">
        <is>
          <t>PLAN: 100 lots @ 153.590, SL 153.678, TP1 151.547 — 1.20% of account (6,013) at risk for 25.12R</t>
        </is>
      </c>
      <c r="F4" s="22" t="inlineStr">
        <is>
          <t>no independent S/R backs the entry or the target (Ch XI)</t>
        </is>
      </c>
      <c r="G4" s="12" t="n">
        <v>23.434</v>
      </c>
      <c r="H4" s="10" t="inlineStr">
        <is>
          <t>trailing_stop</t>
        </is>
      </c>
    </row>
    <row r="5" ht="110" customHeight="1">
      <c r="A5" s="16" t="inlineStr">
        <is>
          <t>T00003</t>
        </is>
      </c>
      <c r="B5" s="16" t="inlineStr">
        <is>
          <t>RTY</t>
        </is>
      </c>
      <c r="C5" s="23" t="inlineStr">
        <is>
          <t>RTY SHORT · Head &amp; Shoulders on 1H · APPROVED 8/10</t>
        </is>
      </c>
      <c r="D5" s="23" t="inlineStr">
        <is>
          <t>Screen 1 has no directional bias, so this is traded on the formation alone rather than as a trend continuation (Ch IX). A Head &amp; Shoulders completed on the 1H over 36 bars (three pushes higher, the middle one highest, every one of them sold into), grading textbook on 5 of 5 preferred filters (Ch XI pattern quality 2/2). The 15M closed at 2,327.31, 4.38 ATR through the neckline at 2,335.55 on 2.11x the 20-bar average volume, then price returned to the level and was rejected by a strong wick. The fill was taken on that rejection, which is the Method B fill the firm defaults to. The measured move projects 2,290.68, worth 24.72R against the stop at 2,336.10; the firm's floor is 2:1 (Ch VIII-A).</t>
        </is>
      </c>
      <c r="E5" s="23" t="inlineStr">
        <is>
          <t>PLAN: 67 contracts @ 2,334.30, SL 2,336.10, TP1 2,290.68 — 1.24% of account (6,184) at risk for 24.72R</t>
        </is>
      </c>
      <c r="F5" s="23" t="inlineStr">
        <is>
          <t>no independent S/R backs the entry or the target (Ch XI)</t>
        </is>
      </c>
      <c r="G5" s="18" t="n">
        <v>24.574</v>
      </c>
      <c r="H5" s="16" t="inlineStr">
        <is>
          <t>trailing_stop</t>
        </is>
      </c>
    </row>
    <row r="6" ht="110" customHeight="1">
      <c r="A6" s="10" t="inlineStr">
        <is>
          <t>T00005</t>
        </is>
      </c>
      <c r="B6" s="10" t="inlineStr">
        <is>
          <t>RTY</t>
        </is>
      </c>
      <c r="C6" s="22" t="inlineStr">
        <is>
          <t>RTY LONG · Double Bottom on 1H · ELITE 9/10</t>
        </is>
      </c>
      <c r="D6" s="22" t="inlineStr">
        <is>
          <t>Screen 1 has no directional bias, so this is traded on the formation alone rather than as a trend continuation (Ch IX). A Double Bottom completed on the 1H over 19 bars (the same floor defended twice, the second attempt holding where the first did), grading textbook on 3 of 3 preferred filters (Ch XI pattern quality 2/2). The 15M closed at 2,234.39, 0.28 ATR through the confirmation line at 2,233.86 on 2.94x the 20-bar average volume, then price returned to the level and was rejected by a pin bar. The fill was taken on that rejection, which is the Method B fill the firm defaults to. The measured move projects 2,279.70, worth 22.00R against the stop at 2,231.44; the firm's floor is 2:1 (Ch VIII-A).</t>
        </is>
      </c>
      <c r="E6" s="22" t="inlineStr">
        <is>
          <t>PLAN: 200 contracts @ 2,233.60, SL 2,231.44, TP1 2,279.70 — 1.99% of account (21,784) at risk for 22.00R</t>
        </is>
      </c>
      <c r="F6" s="22" t="inlineStr">
        <is>
          <t>nothing flagged</t>
        </is>
      </c>
      <c r="G6" s="12" t="n">
        <v>15.483</v>
      </c>
      <c r="H6" s="10" t="inlineStr">
        <is>
          <t>early_exit_counter_pattern</t>
        </is>
      </c>
    </row>
    <row r="7" ht="110" customHeight="1">
      <c r="A7" s="16" t="inlineStr">
        <is>
          <t>T00006</t>
        </is>
      </c>
      <c r="B7" s="16" t="inlineStr">
        <is>
          <t>EURUSD</t>
        </is>
      </c>
      <c r="C7" s="23" t="inlineStr">
        <is>
          <t>EURUSD LONG · Double Bottom on 1H · APPROVED 8/10</t>
        </is>
      </c>
      <c r="D7" s="23" t="inlineStr">
        <is>
          <t>Screen 1 has no directional bias, so this is traded on the formation alone rather than as a trend continuation (Ch IX). A Double Bottom completed on the 1H over 19 bars (the same floor defended twice, the second attempt holding where the first did), grading textbook on 3 of 3 preferred filters (Ch XI pattern quality 2/2). The 15M closed at 1.06455, 0.07 ATR through the confirmation line at 1.06451 on 2.66x the 20-bar average volume, then price returned to the level and was rejected by a pin bar. The fill was taken on that rejection, which is the Method B fill the firm defaults to. The measured move projects 1.07855, worth 23.50R against the stop at 1.06396; the firm's floor is 2:1 (Ch VIII-A).</t>
        </is>
      </c>
      <c r="E7" s="23" t="inlineStr">
        <is>
          <t>PLAN: 100 lots @ 1.06460, SL 1.06396, TP1 1.07855 — 0.61% of account (6,656) at risk for 23.50R</t>
        </is>
      </c>
      <c r="F7" s="23" t="inlineStr">
        <is>
          <t>no independent S/R backs the entry or the target (Ch XI)</t>
        </is>
      </c>
      <c r="G7" s="18" t="n">
        <v>16.25</v>
      </c>
      <c r="H7" s="16" t="inlineStr">
        <is>
          <t>early_exit_counter_pattern</t>
        </is>
      </c>
    </row>
    <row r="8" ht="110" customHeight="1">
      <c r="A8" s="10" t="inlineStr">
        <is>
          <t>T00007</t>
        </is>
      </c>
      <c r="B8" s="10" t="inlineStr">
        <is>
          <t>GBPUSD</t>
        </is>
      </c>
      <c r="C8" s="22" t="inlineStr">
        <is>
          <t>GBPUSD LONG · Double Bottom on 1H · APPROVED 8/10</t>
        </is>
      </c>
      <c r="D8" s="22" t="inlineStr">
        <is>
          <t>Screen 1 has no directional bias, so this is traded on the formation alone rather than as a trend continuation (Ch IX). A Double Bottom completed on the 1H over 19 bars (the same floor defended twice, the second attempt holding where the first did), grading textbook on 3 of 3 preferred filters (Ch XI pattern quality 2/2). The 15M closed at 1.24587, 0.20 ATR through the confirmation line at 1.24574 on 2.79x the 20-bar average volume, then price returned to the level and was rejected by a strong wick. The fill was taken on that rejection, which is the Method B fill the firm defaults to. The measured move projects 1.26179, worth 22.56R against the stop at 1.24538; the firm's floor is 2:1 (Ch VIII-A).</t>
        </is>
      </c>
      <c r="E8" s="22" t="inlineStr">
        <is>
          <t>PLAN: 100 lots @ 1.24615, SL 1.24538, TP1 1.26179 — 0.70% of account (7,668) at risk for 22.56R</t>
        </is>
      </c>
      <c r="F8" s="22" t="inlineStr">
        <is>
          <t>no independent S/R backs the entry or the target (Ch XI)</t>
        </is>
      </c>
      <c r="G8" s="12" t="n">
        <v>15.495</v>
      </c>
      <c r="H8" s="10" t="inlineStr">
        <is>
          <t>early_exit_counter_pattern</t>
        </is>
      </c>
    </row>
    <row r="9" ht="110" customHeight="1">
      <c r="A9" s="16" t="inlineStr">
        <is>
          <t>T00008</t>
        </is>
      </c>
      <c r="B9" s="16" t="inlineStr">
        <is>
          <t>GC</t>
        </is>
      </c>
      <c r="C9" s="23" t="inlineStr">
        <is>
          <t>GC LONG · Double Bottom on 1H · ELITE 9/10</t>
        </is>
      </c>
      <c r="D9" s="23" t="inlineStr">
        <is>
          <t>Screen 1 has no directional bias, so this is traded on the formation alone rather than as a trend continuation (Ch IX). A Double Bottom completed on the 1H over 19 bars (the same floor defended twice, the second attempt holding where the first did), grading textbook on 3 of 3 preferred filters (Ch XI pattern quality 2/2). The 15M closed at 2,566.78, 0.11 ATR through the confirmation line at 2,566.52 on 2.59x the 20-bar average volume, then price returned to the level and was rejected by a strong wick. The fill was taken on that rejection, which is the Method B fill the firm defaults to. The measured move projects 2,625.83, worth 21.68R against the stop at 2,562.91; the firm's floor is 2:1 (Ch VIII-A).</t>
        </is>
      </c>
      <c r="E9" s="23" t="inlineStr">
        <is>
          <t>PLAN: 65 contracts @ 2,565.80, SL 2,562.91, TP1 2,625.83 — 1.67% of account (18,288) at risk for 21.68R</t>
        </is>
      </c>
      <c r="F9" s="23" t="inlineStr">
        <is>
          <t>nothing flagged</t>
        </is>
      </c>
      <c r="G9" s="18" t="n">
        <v>16.36</v>
      </c>
      <c r="H9" s="16" t="inlineStr">
        <is>
          <t>trailing_stop</t>
        </is>
      </c>
    </row>
    <row r="10" ht="110" customHeight="1">
      <c r="A10" s="10" t="inlineStr">
        <is>
          <t>T00009</t>
        </is>
      </c>
      <c r="B10" s="10" t="inlineStr">
        <is>
          <t>EURUSD</t>
        </is>
      </c>
      <c r="C10" s="22" t="inlineStr">
        <is>
          <t>EURUSD LONG · Double Bottom on 1H · APPROVED 7/10</t>
        </is>
      </c>
      <c r="D10" s="22" t="inlineStr">
        <is>
          <t>Screen 1 has no directional bias, so this is traded on the formation alone rather than as a trend continuation (Ch IX). A Double Bottom completed on the 1H over 19 bars (the same floor defended twice, the second attempt holding where the first did), grading textbook on 3 of 3 preferred filters (Ch XI pattern quality 2/2). The 15M closed at 1.06469, 0.48 ATR through the confirmation line at 1.06451 on 1.10x average volume (no surge), then price returned to the level and was rejected by a engulfing. The fill was taken on that rejection, which is the Method B fill the firm defaults to. The measured move projects 1.07855, worth 23.63R against the stop at 1.06418; the firm's floor is 2:1 (Ch VIII-A).</t>
        </is>
      </c>
      <c r="E10" s="22" t="inlineStr">
        <is>
          <t>PLAN: 100 lots @ 1.06481, SL 1.06418, TP1 1.07855 — 0.33% of account (6,534) at risk for 23.63R</t>
        </is>
      </c>
      <c r="F10" s="22" t="inlineStr">
        <is>
          <t>breakout volume 1.10x is below the Ch V-A 1.5x surge threshold; 1 opposing level(s) between entry and TP1 (nearest 1.06834); Appendix A [P] missed — Is breakout volume &gt; 1.5x the 20-period average? (1.10x average); Appendix A [P] missed — Is path to TP1 clear of major S/R obstacles? (1 opposing level(s) between entry and TP1 (nearest 1.06834))</t>
        </is>
      </c>
      <c r="G10" s="12" t="n">
        <v>17.545</v>
      </c>
      <c r="H10" s="10" t="inlineStr">
        <is>
          <t>early_exit_counter_pattern</t>
        </is>
      </c>
    </row>
    <row r="11" ht="110" customHeight="1">
      <c r="A11" s="16" t="inlineStr">
        <is>
          <t>T00010</t>
        </is>
      </c>
      <c r="B11" s="16" t="inlineStr">
        <is>
          <t>GBPUSD</t>
        </is>
      </c>
      <c r="C11" s="23" t="inlineStr">
        <is>
          <t>GBPUSD SHORT · Double Top on 1H · ELITE 9/10</t>
        </is>
      </c>
      <c r="D11" s="23" t="inlineStr">
        <is>
          <t>Screen 1 has no directional bias, so this is traded on the formation alone rather than as a trend continuation (Ch IX). A Double Top completed on the 1H over 19 bars (the same ceiling rejected twice, the second attempt failing where the first did), grading textbook on 3 of 3 preferred filters (Ch XI pattern quality 2/2). The 15M closed at 1.27579, 0.98 ATR through the confirmation line at 1.27648 on 2.37x the 20-bar average volume, then price returned to the level and was rejected by a pin bar. The fill was taken on that rejection, which is the Method B fill the firm defaults to. The measured move projects 1.25991, worth 25.47R against the stop at 1.27733; the firm's floor is 2:1 (Ch VIII-A).</t>
        </is>
      </c>
      <c r="E11" s="23" t="inlineStr">
        <is>
          <t>PLAN: 100 lots @ 1.27660, SL 1.27733, TP1 1.25991 — 0.35% of account (7,281) at risk for 25.47R</t>
        </is>
      </c>
      <c r="F11" s="23" t="inlineStr">
        <is>
          <t>1 opposing level(s) between entry and TP1 (nearest 1.27211); Appendix A [P] missed — Is path to TP1 clear of major S/R obstacles? (1 opposing level(s) between entry and TP1 (nearest 1.27211))</t>
        </is>
      </c>
      <c r="G11" s="18" t="n">
        <v>9.239000000000001</v>
      </c>
      <c r="H11" s="16" t="inlineStr">
        <is>
          <t>early_exit_counter_pattern</t>
        </is>
      </c>
    </row>
    <row r="12" ht="110" customHeight="1">
      <c r="A12" s="10" t="inlineStr">
        <is>
          <t>T00011</t>
        </is>
      </c>
      <c r="B12" s="10" t="inlineStr">
        <is>
          <t>GC</t>
        </is>
      </c>
      <c r="C12" s="22" t="inlineStr">
        <is>
          <t>GC SHORT · Double Top on 1H · ELITE 9/10</t>
        </is>
      </c>
      <c r="D12" s="22" t="inlineStr">
        <is>
          <t>Screen 1 has no directional bias, so this is traded on the formation alone rather than as a trend continuation (Ch IX). A Double Top completed on the 1H over 18 bars (the same ceiling rejected twice, the second attempt failing where the first did), grading textbook on 3 of 3 preferred filters (Ch XI pattern quality 2/2). The 15M closed at 2,673.72, 0.09 ATR through the confirmation line at 2,673.94 on 3.27x the 20-bar average volume, then price returned to the level and was rejected by a pin bar. The fill was taken on that rejection, which is the Method B fill the firm defaults to. The measured move projects 2,615.29, worth 23.38R against the stop at 2,675.90; the firm's floor is 2:1 (Ch VIII-A).</t>
        </is>
      </c>
      <c r="E12" s="22" t="inlineStr">
        <is>
          <t>PLAN: 163 contracts @ 2,673.30, SL 2,675.90, TP1 2,615.29 — 1.99% of account (41,169) at risk for 23.38R</t>
        </is>
      </c>
      <c r="F12" s="22" t="inlineStr">
        <is>
          <t>1 opposing level(s) between entry and TP1 (nearest 2657.91886); Appendix A [P] missed — Is path to TP1 clear of major S/R obstacles? (1 opposing level(s) between entry and TP1 (nearest 2657.91886))</t>
        </is>
      </c>
      <c r="G12" s="12" t="n">
        <v>21.915</v>
      </c>
      <c r="H12" s="10" t="inlineStr">
        <is>
          <t>end_of_backtest</t>
        </is>
      </c>
    </row>
    <row r="13" ht="110" customHeight="1">
      <c r="A13" s="16" t="inlineStr">
        <is>
          <t>T00012</t>
        </is>
      </c>
      <c r="B13" s="16" t="inlineStr">
        <is>
          <t>NQ</t>
        </is>
      </c>
      <c r="C13" s="23" t="inlineStr">
        <is>
          <t>NQ SHORT · Double Top on 1H · ELITE 9/10</t>
        </is>
      </c>
      <c r="D13" s="23" t="inlineStr">
        <is>
          <t>Screen 1 has no directional bias, so this is traded on the formation alone rather than as a trend continuation (Ch IX). A Double Top completed on the 1H over 20 bars (the same ceiling rejected twice, the second attempt failing where the first did), grading textbook on 3 of 3 preferred filters (Ch XI pattern quality 2/2). The 15M closed at 21,634.81, 0.94 ATR through the confirmation line at 21,649.75 on 2.84x the 20-bar average volume, then price returned to the level and was rejected by a strong wick. The fill was taken on that rejection, which is the Method B fill the firm defaults to. The measured move projects 21,261.55, worth 24.17R against the stop at 21,672.31; the firm's floor is 2:1 (Ch VIII-A).</t>
        </is>
      </c>
      <c r="E13" s="23" t="inlineStr">
        <is>
          <t>PLAN: 125 contracts @ 21,655.75, SL 21,672.31, TP1 21,261.55 — 2.00% of account (41,306) at risk for 24.17R</t>
        </is>
      </c>
      <c r="F13" s="23" t="inlineStr">
        <is>
          <t>1 opposing level(s) between entry and TP1 (nearest 21552.27413); Appendix A [P] missed — Is path to TP1 clear of major S/R obstacles? (1 opposing level(s) between entry and TP1 (nearest 21552.27413))</t>
        </is>
      </c>
      <c r="G13" s="18" t="n">
        <v>23.536</v>
      </c>
      <c r="H13" s="16" t="inlineStr">
        <is>
          <t>end_of_backtest</t>
        </is>
      </c>
    </row>
    <row r="14" ht="110" customHeight="1">
      <c r="A14" s="10" t="inlineStr">
        <is>
          <t>T00013</t>
        </is>
      </c>
      <c r="B14" s="10" t="inlineStr">
        <is>
          <t>RTY</t>
        </is>
      </c>
      <c r="C14" s="22" t="inlineStr">
        <is>
          <t>RTY SHORT · Double Top on 1H · ELITE 9/10</t>
        </is>
      </c>
      <c r="D14" s="22" t="inlineStr">
        <is>
          <t>Screen 1 has no directional bias, so this is traded on the formation alone rather than as a trend continuation (Ch IX). A Double Top completed on the 1H over 20 bars (the same ceiling rejected twice, the second attempt failing where the first did), grading textbook on 3 of 3 preferred filters (Ch XI pattern quality 2/2). The 15M closed at 2,318.66, 0.24 ATR through the confirmation line at 2,319.10 on 2.41x the 20-bar average volume, then price returned to the level and was rejected by a strong wick. The fill was taken on that rejection, which is the Method B fill the firm defaults to. The measured move projects 2,273.25, worth 32.27R against the stop at 2,319.82; the firm's floor is 2:1 (Ch VIII-A).</t>
        </is>
      </c>
      <c r="E14" s="22" t="inlineStr">
        <is>
          <t>PLAN: 183 contracts @ 2,318.30, SL 2,319.82, TP1 2,273.25 — 0.66% of account (13,540) at risk for 32.27R</t>
        </is>
      </c>
      <c r="F14" s="22" t="inlineStr">
        <is>
          <t>1 opposing level(s) between entry and TP1 (nearest 2305.66943); Appendix A [P] missed — Is path to TP1 clear of major S/R obstacles? (1 opposing level(s) between entry and TP1 (nearest 2305.66943))</t>
        </is>
      </c>
      <c r="G14" s="12" t="n">
        <v>29.961</v>
      </c>
      <c r="H14" s="10" t="inlineStr">
        <is>
          <t>end_of_backtest</t>
        </is>
      </c>
    </row>
  </sheetData>
  <autoFilter ref="A1:H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6" customWidth="1" min="3" max="3"/>
  </cols>
  <sheetData>
    <row r="1">
      <c r="A1" s="1" t="inlineStr">
        <is>
          <t>TITAN MARKETS LLC</t>
        </is>
      </c>
    </row>
    <row r="2">
      <c r="A2" s="2" t="inlineStr">
        <is>
          <t>Summary</t>
        </is>
      </c>
    </row>
    <row r="3">
      <c r="A3" s="3" t="inlineStr">
        <is>
          <t>Every figure is a formula over the Trades sheet.</t>
        </is>
      </c>
    </row>
    <row r="5">
      <c r="A5" s="4" t="inlineStr">
        <is>
          <t>SYNTHETIC DATA — these numbers describe a generated price path, not market performance. Not a track record.</t>
        </is>
      </c>
    </row>
    <row r="6"/>
    <row r="7"/>
    <row r="9" ht="26" customHeight="1">
      <c r="A9" s="9" t="inlineStr">
        <is>
          <t>Metric</t>
        </is>
      </c>
      <c r="B9" s="9" t="inlineStr">
        <is>
          <t>Value</t>
        </is>
      </c>
      <c r="C9" s="9" t="inlineStr">
        <is>
          <t>Note</t>
        </is>
      </c>
    </row>
    <row r="10">
      <c r="A10" s="10" t="inlineStr">
        <is>
          <t>Trades</t>
        </is>
      </c>
      <c r="B10" s="10">
        <f>COUNTA(Trades!$B$2:$B$14)</f>
        <v/>
      </c>
      <c r="C10" s="10" t="inlineStr">
        <is>
          <t>closed positions</t>
        </is>
      </c>
    </row>
    <row r="11">
      <c r="A11" s="16" t="inlineStr">
        <is>
          <t>Wins</t>
        </is>
      </c>
      <c r="B11" s="16">
        <f>COUNTIF(Trades!$U$2:$U$14,"WIN")</f>
        <v/>
      </c>
      <c r="C11" s="16" t="inlineStr"/>
    </row>
    <row r="12">
      <c r="A12" s="10" t="inlineStr">
        <is>
          <t>Losses</t>
        </is>
      </c>
      <c r="B12" s="10">
        <f>COUNTIF(Trades!$U$2:$U$14,"LOSS")</f>
        <v/>
      </c>
      <c r="C12" s="10" t="inlineStr"/>
    </row>
    <row r="13">
      <c r="A13" s="16" t="inlineStr">
        <is>
          <t>Breakeven</t>
        </is>
      </c>
      <c r="B13" s="16">
        <f>COUNTIF(Trades!$U$2:$U$14,"BE")</f>
        <v/>
      </c>
      <c r="C13" s="16" t="inlineStr"/>
    </row>
    <row r="14">
      <c r="A14" s="10" t="inlineStr">
        <is>
          <t>Win rate</t>
        </is>
      </c>
      <c r="B14" s="24">
        <f>IFERROR(B11/B10,0)</f>
        <v/>
      </c>
      <c r="C14" s="10" t="inlineStr">
        <is>
          <t>Ch XIII-B target 50-60%</t>
        </is>
      </c>
    </row>
    <row r="15">
      <c r="A15" s="16" t="inlineStr">
        <is>
          <t>Gross profit</t>
        </is>
      </c>
      <c r="B15" s="25">
        <f>SUMIF(Trades!$T$2:$T$14,"&gt;0")</f>
        <v/>
      </c>
      <c r="C15" s="16" t="inlineStr"/>
    </row>
    <row r="16">
      <c r="A16" s="10" t="inlineStr">
        <is>
          <t>Gross loss</t>
        </is>
      </c>
      <c r="B16" s="26">
        <f>-SUMIF(Trades!$T$2:$T$14,"&lt;0")</f>
        <v/>
      </c>
      <c r="C16" s="10" t="inlineStr"/>
    </row>
    <row r="17">
      <c r="A17" s="16" t="inlineStr">
        <is>
          <t>Net P&amp;L</t>
        </is>
      </c>
      <c r="B17" s="25">
        <f>SUM(Trades!$T$2:$T$14)</f>
        <v/>
      </c>
      <c r="C17" s="16" t="inlineStr"/>
    </row>
    <row r="18">
      <c r="A18" s="10" t="inlineStr">
        <is>
          <t>Profit factor</t>
        </is>
      </c>
      <c r="B18" s="12">
        <f>IFERROR(B15/B16,"n/a")</f>
        <v/>
      </c>
      <c r="C18" s="10" t="inlineStr">
        <is>
          <t>Ch XIII-B target &gt; 1.5</t>
        </is>
      </c>
    </row>
    <row r="19">
      <c r="A19" s="16" t="inlineStr">
        <is>
          <t>Expectancy per trade</t>
        </is>
      </c>
      <c r="B19" s="25">
        <f>IFERROR(B17/B10,0)</f>
        <v/>
      </c>
      <c r="C19" s="16" t="inlineStr">
        <is>
          <t>must be positive</t>
        </is>
      </c>
    </row>
    <row r="20">
      <c r="A20" s="10" t="inlineStr">
        <is>
          <t>Average R</t>
        </is>
      </c>
      <c r="B20" s="12">
        <f>IFERROR(AVERAGE(Trades!$S$2:$S$14),0)</f>
        <v/>
      </c>
      <c r="C20" s="10" t="inlineStr">
        <is>
          <t>Ch XIII-B target &gt; 2.0R</t>
        </is>
      </c>
    </row>
    <row r="21">
      <c r="A21" s="16" t="inlineStr">
        <is>
          <t>Best R</t>
        </is>
      </c>
      <c r="B21" s="18">
        <f>IFERROR(MAX(Trades!$S$2:$S$14),0)</f>
        <v/>
      </c>
      <c r="C21" s="16" t="inlineStr"/>
    </row>
    <row r="22">
      <c r="A22" s="10" t="inlineStr">
        <is>
          <t>Worst R</t>
        </is>
      </c>
      <c r="B22" s="12">
        <f>IFERROR(MIN(Trades!$S$2:$S$14),0)</f>
        <v/>
      </c>
      <c r="C22" s="10" t="inlineStr"/>
    </row>
    <row r="23">
      <c r="A23" s="16" t="inlineStr">
        <is>
          <t>Starting balance</t>
        </is>
      </c>
      <c r="B23" s="25" t="n">
        <v>500000</v>
      </c>
      <c r="C23" s="16" t="inlineStr">
        <is>
          <t>input</t>
        </is>
      </c>
    </row>
    <row r="24">
      <c r="A24" s="10" t="inlineStr">
        <is>
          <t>Ending balance</t>
        </is>
      </c>
      <c r="B24" s="26">
        <f>B23+B17</f>
        <v/>
      </c>
      <c r="C24" s="10" t="inlineStr"/>
    </row>
    <row r="25">
      <c r="A25" s="16" t="inlineStr">
        <is>
          <t>Return</t>
        </is>
      </c>
      <c r="B25" s="27">
        <f>IFERROR(B17/B23,0)</f>
        <v/>
      </c>
      <c r="C25" s="16" t="inlineStr"/>
    </row>
    <row r="26">
      <c r="A26" s="10" t="inlineStr">
        <is>
          <t>Max drawdown</t>
        </is>
      </c>
      <c r="B26" s="24" t="n">
        <v>0.20962</v>
      </c>
      <c r="C26" s="10" t="inlineStr">
        <is>
          <t>from Equity Curve high-water mark (RMG s.05 basis)</t>
        </is>
      </c>
    </row>
    <row r="27">
      <c r="A27" s="16" t="inlineStr">
        <is>
          <t>Trades per week</t>
        </is>
      </c>
      <c r="B27" s="28" t="n">
        <v>6.25</v>
      </c>
      <c r="C27" s="16" t="inlineStr">
        <is>
          <t>Ch XIII-B target 3-8</t>
        </is>
      </c>
    </row>
  </sheetData>
  <mergeCells count="1">
    <mergeCell ref="A5:C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0" customWidth="1" min="4" max="4"/>
    <col width="8" customWidth="1" min="5" max="5"/>
    <col width="10" customWidth="1" min="6" max="6"/>
    <col width="10" customWidth="1" min="7" max="7"/>
    <col width="15" customWidth="1" min="8" max="8"/>
    <col width="12" customWidth="1" min="9" max="9"/>
  </cols>
  <sheetData>
    <row r="1" ht="26" customHeight="1">
      <c r="A1" s="9" t="inlineStr">
        <is>
          <t>Symbol</t>
        </is>
      </c>
      <c r="B1" s="9" t="inlineStr">
        <is>
          <t>Asset class</t>
        </is>
      </c>
      <c r="C1" s="9" t="inlineStr">
        <is>
          <t>Screens (Ch IX)</t>
        </is>
      </c>
      <c r="D1" s="9" t="inlineStr">
        <is>
          <t>Trades</t>
        </is>
      </c>
      <c r="E1" s="9" t="inlineStr">
        <is>
          <t>Wins</t>
        </is>
      </c>
      <c r="F1" s="9" t="inlineStr">
        <is>
          <t>Win rate</t>
        </is>
      </c>
      <c r="G1" s="9" t="inlineStr">
        <is>
          <t>Avg R</t>
        </is>
      </c>
      <c r="H1" s="9" t="inlineStr">
        <is>
          <t>P&amp;L</t>
        </is>
      </c>
      <c r="I1" s="9" t="inlineStr">
        <is>
          <t>Bars</t>
        </is>
      </c>
    </row>
    <row r="2">
      <c r="A2" s="10" t="inlineStr">
        <is>
          <t>GC</t>
        </is>
      </c>
      <c r="B2" s="10" t="inlineStr">
        <is>
          <t>commodities</t>
        </is>
      </c>
      <c r="C2" s="10" t="inlineStr">
        <is>
          <t>1D/1W &gt; 4H/1H &gt; 15M/5M</t>
        </is>
      </c>
      <c r="D2" s="15">
        <f>COUNTIF(Trades!$B$2:$B$14,A2)</f>
        <v/>
      </c>
      <c r="E2" s="15">
        <f>COUNTIFS(Trades!$B$2:$B$14,A2,Trades!$U$2:$U$14,"WIN")</f>
        <v/>
      </c>
      <c r="F2" s="24">
        <f>IFERROR(E2/D2,0)</f>
        <v/>
      </c>
      <c r="G2" s="12">
        <f>IFERROR(AVERAGEIF(Trades!$B$2:$B$14,A2,Trades!$S$2:$S$14),0)</f>
        <v/>
      </c>
      <c r="H2" s="26">
        <f>SUMIF(Trades!$B$2:$B$14,A2,Trades!$T$2:$T$14)</f>
        <v/>
      </c>
      <c r="I2" s="15" t="n">
        <v>4230</v>
      </c>
    </row>
    <row r="3">
      <c r="A3" s="16" t="inlineStr">
        <is>
          <t>EURUSD</t>
        </is>
      </c>
      <c r="B3" s="16" t="inlineStr">
        <is>
          <t>forex</t>
        </is>
      </c>
      <c r="C3" s="16" t="inlineStr">
        <is>
          <t>1D/1W &gt; 4H/1H &gt; 15M/5M</t>
        </is>
      </c>
      <c r="D3" s="21">
        <f>COUNTIF(Trades!$B$2:$B$14,A3)</f>
        <v/>
      </c>
      <c r="E3" s="21">
        <f>COUNTIFS(Trades!$B$2:$B$14,A3,Trades!$U$2:$U$14,"WIN")</f>
        <v/>
      </c>
      <c r="F3" s="27">
        <f>IFERROR(E3/D3,0)</f>
        <v/>
      </c>
      <c r="G3" s="18">
        <f>IFERROR(AVERAGEIF(Trades!$B$2:$B$14,A3,Trades!$S$2:$S$14),0)</f>
        <v/>
      </c>
      <c r="H3" s="25">
        <f>SUMIF(Trades!$B$2:$B$14,A3,Trades!$T$2:$T$14)</f>
        <v/>
      </c>
      <c r="I3" s="21" t="n">
        <v>4230</v>
      </c>
    </row>
    <row r="4">
      <c r="A4" s="10" t="inlineStr">
        <is>
          <t>GBPUSD</t>
        </is>
      </c>
      <c r="B4" s="10" t="inlineStr">
        <is>
          <t>forex</t>
        </is>
      </c>
      <c r="C4" s="10" t="inlineStr">
        <is>
          <t>1D/1W &gt; 4H/1H &gt; 15M/5M</t>
        </is>
      </c>
      <c r="D4" s="15">
        <f>COUNTIF(Trades!$B$2:$B$14,A4)</f>
        <v/>
      </c>
      <c r="E4" s="15">
        <f>COUNTIFS(Trades!$B$2:$B$14,A4,Trades!$U$2:$U$14,"WIN")</f>
        <v/>
      </c>
      <c r="F4" s="24">
        <f>IFERROR(E4/D4,0)</f>
        <v/>
      </c>
      <c r="G4" s="12">
        <f>IFERROR(AVERAGEIF(Trades!$B$2:$B$14,A4,Trades!$S$2:$S$14),0)</f>
        <v/>
      </c>
      <c r="H4" s="26">
        <f>SUMIF(Trades!$B$2:$B$14,A4,Trades!$T$2:$T$14)</f>
        <v/>
      </c>
      <c r="I4" s="15" t="n">
        <v>4230</v>
      </c>
    </row>
    <row r="5">
      <c r="A5" s="16" t="inlineStr">
        <is>
          <t>USDJPY</t>
        </is>
      </c>
      <c r="B5" s="16" t="inlineStr">
        <is>
          <t>forex</t>
        </is>
      </c>
      <c r="C5" s="16" t="inlineStr">
        <is>
          <t>1D/1W &gt; 4H/1H &gt; 15M/5M</t>
        </is>
      </c>
      <c r="D5" s="21">
        <f>COUNTIF(Trades!$B$2:$B$14,A5)</f>
        <v/>
      </c>
      <c r="E5" s="21">
        <f>COUNTIFS(Trades!$B$2:$B$14,A5,Trades!$U$2:$U$14,"WIN")</f>
        <v/>
      </c>
      <c r="F5" s="27">
        <f>IFERROR(E5/D5,0)</f>
        <v/>
      </c>
      <c r="G5" s="18">
        <f>IFERROR(AVERAGEIF(Trades!$B$2:$B$14,A5,Trades!$S$2:$S$14),0)</f>
        <v/>
      </c>
      <c r="H5" s="25">
        <f>SUMIF(Trades!$B$2:$B$14,A5,Trades!$T$2:$T$14)</f>
        <v/>
      </c>
      <c r="I5" s="21" t="n">
        <v>4230</v>
      </c>
    </row>
    <row r="6">
      <c r="A6" s="10" t="inlineStr">
        <is>
          <t>CL</t>
        </is>
      </c>
      <c r="B6" s="10" t="inlineStr">
        <is>
          <t>commodities</t>
        </is>
      </c>
      <c r="C6" s="10" t="inlineStr">
        <is>
          <t>1D/1W &gt; 4H/1H &gt; 15M/5M</t>
        </is>
      </c>
      <c r="D6" s="15">
        <f>COUNTIF(Trades!$B$2:$B$14,A6)</f>
        <v/>
      </c>
      <c r="E6" s="15">
        <f>COUNTIFS(Trades!$B$2:$B$14,A6,Trades!$U$2:$U$14,"WIN")</f>
        <v/>
      </c>
      <c r="F6" s="24">
        <f>IFERROR(E6/D6,0)</f>
        <v/>
      </c>
      <c r="G6" s="12">
        <f>IFERROR(AVERAGEIF(Trades!$B$2:$B$14,A6,Trades!$S$2:$S$14),0)</f>
        <v/>
      </c>
      <c r="H6" s="26">
        <f>SUMIF(Trades!$B$2:$B$14,A6,Trades!$T$2:$T$14)</f>
        <v/>
      </c>
      <c r="I6" s="15" t="n">
        <v>4230</v>
      </c>
    </row>
    <row r="7">
      <c r="A7" s="16" t="inlineStr">
        <is>
          <t>NQ</t>
        </is>
      </c>
      <c r="B7" s="16" t="inlineStr">
        <is>
          <t>indices</t>
        </is>
      </c>
      <c r="C7" s="16" t="inlineStr">
        <is>
          <t>1D &gt; 4H/1H &gt; 15M/5M</t>
        </is>
      </c>
      <c r="D7" s="21">
        <f>COUNTIF(Trades!$B$2:$B$14,A7)</f>
        <v/>
      </c>
      <c r="E7" s="21">
        <f>COUNTIFS(Trades!$B$2:$B$14,A7,Trades!$U$2:$U$14,"WIN")</f>
        <v/>
      </c>
      <c r="F7" s="27">
        <f>IFERROR(E7/D7,0)</f>
        <v/>
      </c>
      <c r="G7" s="18">
        <f>IFERROR(AVERAGEIF(Trades!$B$2:$B$14,A7,Trades!$S$2:$S$14),0)</f>
        <v/>
      </c>
      <c r="H7" s="25">
        <f>SUMIF(Trades!$B$2:$B$14,A7,Trades!$T$2:$T$14)</f>
        <v/>
      </c>
      <c r="I7" s="21" t="n">
        <v>4230</v>
      </c>
    </row>
    <row r="8">
      <c r="A8" s="10" t="inlineStr">
        <is>
          <t>ES</t>
        </is>
      </c>
      <c r="B8" s="10" t="inlineStr">
        <is>
          <t>indices</t>
        </is>
      </c>
      <c r="C8" s="10" t="inlineStr">
        <is>
          <t>1D &gt; 4H/1H &gt; 15M/5M</t>
        </is>
      </c>
      <c r="D8" s="15">
        <f>COUNTIF(Trades!$B$2:$B$14,A8)</f>
        <v/>
      </c>
      <c r="E8" s="15">
        <f>COUNTIFS(Trades!$B$2:$B$14,A8,Trades!$U$2:$U$14,"WIN")</f>
        <v/>
      </c>
      <c r="F8" s="24">
        <f>IFERROR(E8/D8,0)</f>
        <v/>
      </c>
      <c r="G8" s="12">
        <f>IFERROR(AVERAGEIF(Trades!$B$2:$B$14,A8,Trades!$S$2:$S$14),0)</f>
        <v/>
      </c>
      <c r="H8" s="26">
        <f>SUMIF(Trades!$B$2:$B$14,A8,Trades!$T$2:$T$14)</f>
        <v/>
      </c>
      <c r="I8" s="15" t="n">
        <v>4230</v>
      </c>
    </row>
    <row r="9">
      <c r="A9" s="16" t="inlineStr">
        <is>
          <t>RTY</t>
        </is>
      </c>
      <c r="B9" s="16" t="inlineStr">
        <is>
          <t>indices</t>
        </is>
      </c>
      <c r="C9" s="16" t="inlineStr">
        <is>
          <t>1D &gt; 4H/1H &gt; 15M/5M</t>
        </is>
      </c>
      <c r="D9" s="21">
        <f>COUNTIF(Trades!$B$2:$B$14,A9)</f>
        <v/>
      </c>
      <c r="E9" s="21">
        <f>COUNTIFS(Trades!$B$2:$B$14,A9,Trades!$U$2:$U$14,"WIN")</f>
        <v/>
      </c>
      <c r="F9" s="27">
        <f>IFERROR(E9/D9,0)</f>
        <v/>
      </c>
      <c r="G9" s="18">
        <f>IFERROR(AVERAGEIF(Trades!$B$2:$B$14,A9,Trades!$S$2:$S$14),0)</f>
        <v/>
      </c>
      <c r="H9" s="25">
        <f>SUMIF(Trades!$B$2:$B$14,A9,Trades!$T$2:$T$14)</f>
        <v/>
      </c>
      <c r="I9" s="21" t="n">
        <v>4230</v>
      </c>
    </row>
    <row r="10">
      <c r="A10" s="29" t="inlineStr">
        <is>
          <t>TOTAL</t>
        </is>
      </c>
      <c r="B10" s="10" t="n"/>
      <c r="C10" s="10" t="n"/>
      <c r="D10" s="30">
        <f>SUM(D2:D9)</f>
        <v/>
      </c>
      <c r="E10" s="30">
        <f>SUM(E2:E9)</f>
        <v/>
      </c>
      <c r="F10" s="31">
        <f>IFERROR(E10/D10,0)</f>
        <v/>
      </c>
      <c r="G10" s="12" t="n"/>
      <c r="H10" s="32">
        <f>SUM(H2:H9)</f>
        <v/>
      </c>
      <c r="I10" s="30">
        <f>SUM(I2:I9)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0" customWidth="1" min="4" max="4"/>
    <col width="10" customWidth="1" min="5" max="5"/>
    <col width="15" customWidth="1" min="6" max="6"/>
  </cols>
  <sheetData>
    <row r="1" ht="26" customHeight="1">
      <c r="A1" s="9" t="inlineStr">
        <is>
          <t>Formation</t>
        </is>
      </c>
      <c r="B1" s="9" t="inlineStr">
        <is>
          <t>Trades</t>
        </is>
      </c>
      <c r="C1" s="9" t="inlineStr">
        <is>
          <t>Wins</t>
        </is>
      </c>
      <c r="D1" s="9" t="inlineStr">
        <is>
          <t>Win rate</t>
        </is>
      </c>
      <c r="E1" s="9" t="inlineStr">
        <is>
          <t>Avg R</t>
        </is>
      </c>
      <c r="F1" s="9" t="inlineStr">
        <is>
          <t>P&amp;L</t>
        </is>
      </c>
    </row>
    <row r="2">
      <c r="A2" s="10" t="inlineStr">
        <is>
          <t>DB</t>
        </is>
      </c>
      <c r="B2" s="15">
        <f>COUNTIF(Trades!$E$2:$E$14,A2)</f>
        <v/>
      </c>
      <c r="C2" s="15">
        <f>COUNTIFS(Trades!$E$2:$E$14,A2,Trades!$U$2:$U$14,"WIN")</f>
        <v/>
      </c>
      <c r="D2" s="24">
        <f>IFERROR(C2/B2,0)</f>
        <v/>
      </c>
      <c r="E2" s="12">
        <f>IFERROR(AVERAGEIF(Trades!$E$2:$E$14,A2,Trades!$S$2:$S$14),0)</f>
        <v/>
      </c>
      <c r="F2" s="26">
        <f>SUMIF(Trades!$E$2:$E$14,A2,Trades!$T$2:$T$14)</f>
        <v/>
      </c>
    </row>
    <row r="3">
      <c r="A3" s="16" t="inlineStr">
        <is>
          <t>DT</t>
        </is>
      </c>
      <c r="B3" s="21">
        <f>COUNTIF(Trades!$E$2:$E$14,A3)</f>
        <v/>
      </c>
      <c r="C3" s="21">
        <f>COUNTIFS(Trades!$E$2:$E$14,A3,Trades!$U$2:$U$14,"WIN")</f>
        <v/>
      </c>
      <c r="D3" s="27">
        <f>IFERROR(C3/B3,0)</f>
        <v/>
      </c>
      <c r="E3" s="18">
        <f>IFERROR(AVERAGEIF(Trades!$E$2:$E$14,A3,Trades!$S$2:$S$14),0)</f>
        <v/>
      </c>
      <c r="F3" s="25">
        <f>SUMIF(Trades!$E$2:$E$14,A3,Trades!$T$2:$T$14)</f>
        <v/>
      </c>
    </row>
    <row r="4">
      <c r="A4" s="10" t="inlineStr">
        <is>
          <t>H&amp;S</t>
        </is>
      </c>
      <c r="B4" s="15">
        <f>COUNTIF(Trades!$E$2:$E$14,A4)</f>
        <v/>
      </c>
      <c r="C4" s="15">
        <f>COUNTIFS(Trades!$E$2:$E$14,A4,Trades!$U$2:$U$14,"WIN")</f>
        <v/>
      </c>
      <c r="D4" s="24">
        <f>IFERROR(C4/B4,0)</f>
        <v/>
      </c>
      <c r="E4" s="12">
        <f>IFERROR(AVERAGEIF(Trades!$E$2:$E$14,A4,Trades!$S$2:$S$14),0)</f>
        <v/>
      </c>
      <c r="F4" s="26">
        <f>SUMIF(Trades!$E$2:$E$14,A4,Trades!$T$2:$T$14)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0" customWidth="1" min="4" max="4"/>
    <col width="10" customWidth="1" min="5" max="5"/>
    <col width="15" customWidth="1" min="6" max="6"/>
  </cols>
  <sheetData>
    <row r="1" ht="26" customHeight="1">
      <c r="A1" s="9" t="inlineStr">
        <is>
          <t>Grade</t>
        </is>
      </c>
      <c r="B1" s="9" t="inlineStr">
        <is>
          <t>Trades</t>
        </is>
      </c>
      <c r="C1" s="9" t="inlineStr">
        <is>
          <t>Wins</t>
        </is>
      </c>
      <c r="D1" s="9" t="inlineStr">
        <is>
          <t>Win rate</t>
        </is>
      </c>
      <c r="E1" s="9" t="inlineStr">
        <is>
          <t>Avg R</t>
        </is>
      </c>
      <c r="F1" s="9" t="inlineStr">
        <is>
          <t>P&amp;L</t>
        </is>
      </c>
    </row>
    <row r="2">
      <c r="A2" s="10" t="inlineStr">
        <is>
          <t>APPROVED</t>
        </is>
      </c>
      <c r="B2" s="15">
        <f>COUNTIF(Trades!$H$2:$H$14,A2)</f>
        <v/>
      </c>
      <c r="C2" s="15">
        <f>COUNTIFS(Trades!$H$2:$H$14,A2,Trades!$U$2:$U$14,"WIN")</f>
        <v/>
      </c>
      <c r="D2" s="24">
        <f>IFERROR(C2/B2,0)</f>
        <v/>
      </c>
      <c r="E2" s="12">
        <f>IFERROR(AVERAGEIF(Trades!$H$2:$H$14,A2,Trades!$S$2:$S$14),0)</f>
        <v/>
      </c>
      <c r="F2" s="26">
        <f>SUMIF(Trades!$H$2:$H$14,A2,Trades!$T$2:$T$14)</f>
        <v/>
      </c>
    </row>
    <row r="3">
      <c r="A3" s="16" t="inlineStr">
        <is>
          <t>ELITE</t>
        </is>
      </c>
      <c r="B3" s="21">
        <f>COUNTIF(Trades!$H$2:$H$14,A3)</f>
        <v/>
      </c>
      <c r="C3" s="21">
        <f>COUNTIFS(Trades!$H$2:$H$14,A3,Trades!$U$2:$U$14,"WIN")</f>
        <v/>
      </c>
      <c r="D3" s="27">
        <f>IFERROR(C3/B3,0)</f>
        <v/>
      </c>
      <c r="E3" s="18">
        <f>IFERROR(AVERAGEIF(Trades!$H$2:$H$14,A3,Trades!$S$2:$S$14),0)</f>
        <v/>
      </c>
      <c r="F3" s="25">
        <f>SUMIF(Trades!$H$2:$H$14,A3,Trades!$T$2:$T$14)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</cols>
  <sheetData>
    <row r="1">
      <c r="A1" s="1" t="inlineStr">
        <is>
          <t>TITAN MARKETS LLC</t>
        </is>
      </c>
    </row>
    <row r="2">
      <c r="A2" s="2" t="inlineStr">
        <is>
          <t>Setup funnel</t>
        </is>
      </c>
    </row>
    <row r="3">
      <c r="A3" s="3" t="inlineStr">
        <is>
          <t>Ch XII-A4 requires refusals to be logged, not just fills.</t>
        </is>
      </c>
    </row>
    <row r="5" ht="26" customHeight="1">
      <c r="A5" s="9" t="inlineStr">
        <is>
          <t>Outcome</t>
        </is>
      </c>
      <c r="B5" s="9" t="inlineStr">
        <is>
          <t>Count</t>
        </is>
      </c>
      <c r="C5" s="9" t="inlineStr">
        <is>
          <t>Share</t>
        </is>
      </c>
    </row>
    <row r="6">
      <c r="A6" s="10" t="inlineStr">
        <is>
          <t>Executed</t>
        </is>
      </c>
      <c r="B6" s="15" t="n">
        <v>13</v>
      </c>
      <c r="C6" s="24">
        <f>IFERROR(B6/$B$11,0)</f>
        <v/>
      </c>
    </row>
    <row r="7">
      <c r="A7" s="16" t="inlineStr">
        <is>
          <t>Formation expired unbroken (Ch VI-B)</t>
        </is>
      </c>
      <c r="B7" s="21" t="n">
        <v>208</v>
      </c>
      <c r="C7" s="27">
        <f>IFERROR(B7/$B$11,0)</f>
        <v/>
      </c>
    </row>
    <row r="8">
      <c r="A8" s="10" t="inlineStr">
        <is>
          <t>Formation invalidated before entry (Ch V-B)</t>
        </is>
      </c>
      <c r="B8" s="15" t="n">
        <v>36</v>
      </c>
      <c r="C8" s="24">
        <f>IFERROR(B8/$B$11,0)</f>
        <v/>
      </c>
    </row>
    <row r="9">
      <c r="A9" s="16" t="inlineStr">
        <is>
          <t>Trade cadence cap (Ch XIII-B)</t>
        </is>
      </c>
      <c r="B9" s="21" t="n">
        <v>11</v>
      </c>
      <c r="C9" s="27">
        <f>IFERROR(B9/$B$11,0)</f>
        <v/>
      </c>
    </row>
    <row r="10">
      <c r="A10" s="10" t="inlineStr">
        <is>
          <t>Confluence score below 7/10 (Ch XI)</t>
        </is>
      </c>
      <c r="B10" s="15" t="n">
        <v>3</v>
      </c>
      <c r="C10" s="24">
        <f>IFERROR(B10/$B$11,0)</f>
        <v/>
      </c>
    </row>
    <row r="11">
      <c r="A11" s="16" t="inlineStr">
        <is>
          <t>TOTAL EVALUATED</t>
        </is>
      </c>
      <c r="B11" s="21">
        <f>SUM(B6:B10)</f>
        <v/>
      </c>
      <c r="C1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4" customWidth="1" min="5" max="5"/>
    <col width="60" customWidth="1" min="6" max="6"/>
  </cols>
  <sheetData>
    <row r="1">
      <c r="A1" s="1" t="inlineStr">
        <is>
          <t>TITAN MARKETS LLC</t>
        </is>
      </c>
    </row>
    <row r="2">
      <c r="A2" s="2" t="inlineStr">
        <is>
          <t>Risk and compliance</t>
        </is>
      </c>
    </row>
    <row r="3">
      <c r="A3" s="3" t="inlineStr">
        <is>
          <t>Ch VIII-A hard limits and the RMG s.05 drawdown ladder.</t>
        </is>
      </c>
    </row>
    <row r="5" ht="26" customHeight="1">
      <c r="A5" s="9" t="inlineStr">
        <is>
          <t>Measure</t>
        </is>
      </c>
      <c r="B5" s="9" t="inlineStr">
        <is>
          <t>Result</t>
        </is>
      </c>
      <c r="C5" s="9" t="inlineStr">
        <is>
          <t>Limit</t>
        </is>
      </c>
      <c r="D5" s="9" t="inlineStr">
        <is>
          <t>Verdict</t>
        </is>
      </c>
    </row>
    <row r="6">
      <c r="A6" s="10" t="inlineStr">
        <is>
          <t>Peak aggregate open risk</t>
        </is>
      </c>
      <c r="B6" s="13" t="n">
        <v>0.04999863821527521</v>
      </c>
      <c r="C6" s="13" t="n">
        <v>0.05</v>
      </c>
      <c r="D6" s="10" t="inlineStr">
        <is>
          <t>WITHIN</t>
        </is>
      </c>
    </row>
    <row r="7">
      <c r="A7" s="16" t="inlineStr">
        <is>
          <t>Max drawdown (trailing)</t>
        </is>
      </c>
      <c r="B7" s="19" t="n">
        <v>0.20962</v>
      </c>
      <c r="C7" s="19" t="n">
        <v>0.12</v>
      </c>
      <c r="D7" s="16" t="inlineStr">
        <is>
          <t>BREACHED</t>
        </is>
      </c>
    </row>
    <row r="8">
      <c r="A8" s="10" t="inlineStr">
        <is>
          <t>Bars with trading halted</t>
        </is>
      </c>
      <c r="B8" s="15" t="n">
        <v>428</v>
      </c>
      <c r="C8" s="10" t="n"/>
      <c r="D8" s="10" t="inlineStr">
        <is>
          <t>1.26% of run</t>
        </is>
      </c>
    </row>
    <row r="10">
      <c r="A10" s="7" t="inlineStr">
        <is>
          <t>Account status timeline (RMG s.05)</t>
        </is>
      </c>
    </row>
    <row r="11" ht="26" customHeight="1">
      <c r="A11" s="9" t="inlineStr">
        <is>
          <t>When</t>
        </is>
      </c>
      <c r="B11" s="9" t="inlineStr">
        <is>
          <t>From</t>
        </is>
      </c>
      <c r="C11" s="9" t="inlineStr">
        <is>
          <t>To</t>
        </is>
      </c>
      <c r="D11" s="9" t="inlineStr">
        <is>
          <t>Max DD</t>
        </is>
      </c>
      <c r="E11" s="9" t="inlineStr">
        <is>
          <t>Trading</t>
        </is>
      </c>
      <c r="F11" s="9" t="inlineStr">
        <is>
          <t>Breach</t>
        </is>
      </c>
    </row>
    <row r="12">
      <c r="A12" s="10" t="inlineStr">
        <is>
          <t>2026-01-09 16:15</t>
        </is>
      </c>
      <c r="B12" s="10" t="inlineStr">
        <is>
          <t>ACTIVE</t>
        </is>
      </c>
      <c r="C12" s="10" t="inlineStr">
        <is>
          <t>PROBATION</t>
        </is>
      </c>
      <c r="D12" s="13" t="n">
        <v>0.11031</v>
      </c>
      <c r="E12" s="10" t="inlineStr">
        <is>
          <t>HALTED</t>
        </is>
      </c>
      <c r="F12" s="10" t="inlineStr">
        <is>
          <t>account drawdown 11.03% is in the probation band (RMG s.05)</t>
        </is>
      </c>
    </row>
    <row r="13">
      <c r="A13" s="16" t="inlineStr">
        <is>
          <t>2026-01-09 16:15</t>
        </is>
      </c>
      <c r="B13" s="16" t="inlineStr">
        <is>
          <t>PROBATION</t>
        </is>
      </c>
      <c r="C13" s="16" t="inlineStr">
        <is>
          <t>SUSPENDED</t>
        </is>
      </c>
      <c r="D13" s="19" t="n">
        <v>0.17183</v>
      </c>
      <c r="E13" s="16" t="inlineStr">
        <is>
          <t>HALTED</t>
        </is>
      </c>
      <c r="F13" s="16" t="inlineStr">
        <is>
          <t>account drawdown 17.18% exceeds the 12% suspension trigger (RMG s.05)</t>
        </is>
      </c>
    </row>
    <row r="14">
      <c r="A14" s="10" t="inlineStr">
        <is>
          <t>2026-01-09 19:35</t>
        </is>
      </c>
      <c r="B14" s="10" t="inlineStr">
        <is>
          <t>SUSPENDED</t>
        </is>
      </c>
      <c r="C14" s="10" t="inlineStr">
        <is>
          <t>PROBATION</t>
        </is>
      </c>
      <c r="D14" s="13" t="n">
        <v>0.10363</v>
      </c>
      <c r="E14" s="10" t="inlineStr">
        <is>
          <t>HALTED</t>
        </is>
      </c>
      <c r="F14" s="10" t="inlineStr">
        <is>
          <t>account drawdown 10.36% is in the probation band (RMG s.05)</t>
        </is>
      </c>
    </row>
    <row r="15">
      <c r="A15" s="16" t="inlineStr">
        <is>
          <t>2026-01-09 20:40</t>
        </is>
      </c>
      <c r="B15" s="16" t="inlineStr">
        <is>
          <t>PROBATION</t>
        </is>
      </c>
      <c r="C15" s="16" t="inlineStr">
        <is>
          <t>ACTIVE</t>
        </is>
      </c>
      <c r="D15" s="19" t="n">
        <v>0.04341</v>
      </c>
      <c r="E15" s="16" t="inlineStr">
        <is>
          <t>permitted</t>
        </is>
      </c>
      <c r="F15" s="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4" customWidth="1" min="4" max="4"/>
  </cols>
  <sheetData>
    <row r="1" ht="26" customHeight="1">
      <c r="A1" s="9" t="inlineStr">
        <is>
          <t>Timestamp</t>
        </is>
      </c>
      <c r="B1" s="9" t="inlineStr">
        <is>
          <t>Equity</t>
        </is>
      </c>
      <c r="C1" s="9" t="inlineStr">
        <is>
          <t>High-water mark</t>
        </is>
      </c>
      <c r="D1" s="9" t="inlineStr">
        <is>
          <t>Drawdown</t>
        </is>
      </c>
    </row>
    <row r="2">
      <c r="A2" s="10" t="inlineStr">
        <is>
          <t>2026-01-05 02:55:00</t>
        </is>
      </c>
      <c r="B2" s="26" t="n">
        <v>500000</v>
      </c>
      <c r="C2" s="26">
        <f>MAX($B$2:B2)</f>
        <v/>
      </c>
      <c r="D2" s="13">
        <f>IFERROR((C2-B2)/C2,0)</f>
        <v/>
      </c>
    </row>
    <row r="3">
      <c r="A3" s="16" t="inlineStr">
        <is>
          <t>2026-01-05 05:55:00</t>
        </is>
      </c>
      <c r="B3" s="25" t="n">
        <v>500000</v>
      </c>
      <c r="C3" s="25">
        <f>MAX($B$2:B3)</f>
        <v/>
      </c>
      <c r="D3" s="19">
        <f>IFERROR((C3-B3)/C3,0)</f>
        <v/>
      </c>
    </row>
    <row r="4">
      <c r="A4" s="10" t="inlineStr">
        <is>
          <t>2026-01-05 08:55:00</t>
        </is>
      </c>
      <c r="B4" s="26" t="n">
        <v>500000</v>
      </c>
      <c r="C4" s="26">
        <f>MAX($B$2:B4)</f>
        <v/>
      </c>
      <c r="D4" s="13">
        <f>IFERROR((C4-B4)/C4,0)</f>
        <v/>
      </c>
    </row>
    <row r="5">
      <c r="A5" s="16" t="inlineStr">
        <is>
          <t>2026-01-05 11:55:00</t>
        </is>
      </c>
      <c r="B5" s="25" t="n">
        <v>500000</v>
      </c>
      <c r="C5" s="25">
        <f>MAX($B$2:B5)</f>
        <v/>
      </c>
      <c r="D5" s="19">
        <f>IFERROR((C5-B5)/C5,0)</f>
        <v/>
      </c>
    </row>
    <row r="6">
      <c r="A6" s="10" t="inlineStr">
        <is>
          <t>2026-01-05 14:55:00</t>
        </is>
      </c>
      <c r="B6" s="26" t="n">
        <v>500000</v>
      </c>
      <c r="C6" s="26">
        <f>MAX($B$2:B6)</f>
        <v/>
      </c>
      <c r="D6" s="13">
        <f>IFERROR((C6-B6)/C6,0)</f>
        <v/>
      </c>
    </row>
    <row r="7">
      <c r="A7" s="16" t="inlineStr">
        <is>
          <t>2026-01-05 17:55:00</t>
        </is>
      </c>
      <c r="B7" s="25" t="n">
        <v>500000</v>
      </c>
      <c r="C7" s="25">
        <f>MAX($B$2:B7)</f>
        <v/>
      </c>
      <c r="D7" s="19">
        <f>IFERROR((C7-B7)/C7,0)</f>
        <v/>
      </c>
    </row>
    <row r="8">
      <c r="A8" s="10" t="inlineStr">
        <is>
          <t>2026-01-05 20:55:00</t>
        </is>
      </c>
      <c r="B8" s="26" t="n">
        <v>500000</v>
      </c>
      <c r="C8" s="26">
        <f>MAX($B$2:B8)</f>
        <v/>
      </c>
      <c r="D8" s="13">
        <f>IFERROR((C8-B8)/C8,0)</f>
        <v/>
      </c>
    </row>
    <row r="9">
      <c r="A9" s="16" t="inlineStr">
        <is>
          <t>2026-01-05 23:55:00</t>
        </is>
      </c>
      <c r="B9" s="25" t="n">
        <v>500000</v>
      </c>
      <c r="C9" s="25">
        <f>MAX($B$2:B9)</f>
        <v/>
      </c>
      <c r="D9" s="19">
        <f>IFERROR((C9-B9)/C9,0)</f>
        <v/>
      </c>
    </row>
    <row r="10">
      <c r="A10" s="10" t="inlineStr">
        <is>
          <t>2026-01-06 02:55:00</t>
        </is>
      </c>
      <c r="B10" s="26" t="n">
        <v>500000</v>
      </c>
      <c r="C10" s="26">
        <f>MAX($B$2:B10)</f>
        <v/>
      </c>
      <c r="D10" s="13">
        <f>IFERROR((C10-B10)/C10,0)</f>
        <v/>
      </c>
    </row>
    <row r="11">
      <c r="A11" s="16" t="inlineStr">
        <is>
          <t>2026-01-06 05:55:00</t>
        </is>
      </c>
      <c r="B11" s="25" t="n">
        <v>500000</v>
      </c>
      <c r="C11" s="25">
        <f>MAX($B$2:B11)</f>
        <v/>
      </c>
      <c r="D11" s="19">
        <f>IFERROR((C11-B11)/C11,0)</f>
        <v/>
      </c>
    </row>
    <row r="12">
      <c r="A12" s="10" t="inlineStr">
        <is>
          <t>2026-01-06 08:55:00</t>
        </is>
      </c>
      <c r="B12" s="26" t="n">
        <v>500000</v>
      </c>
      <c r="C12" s="26">
        <f>MAX($B$2:B12)</f>
        <v/>
      </c>
      <c r="D12" s="13">
        <f>IFERROR((C12-B12)/C12,0)</f>
        <v/>
      </c>
    </row>
    <row r="13">
      <c r="A13" s="16" t="inlineStr">
        <is>
          <t>2026-01-06 11:55:00</t>
        </is>
      </c>
      <c r="B13" s="25" t="n">
        <v>500000</v>
      </c>
      <c r="C13" s="25">
        <f>MAX($B$2:B13)</f>
        <v/>
      </c>
      <c r="D13" s="19">
        <f>IFERROR((C13-B13)/C13,0)</f>
        <v/>
      </c>
    </row>
    <row r="14">
      <c r="A14" s="10" t="inlineStr">
        <is>
          <t>2026-01-06 14:55:00</t>
        </is>
      </c>
      <c r="B14" s="26" t="n">
        <v>500000</v>
      </c>
      <c r="C14" s="26">
        <f>MAX($B$2:B14)</f>
        <v/>
      </c>
      <c r="D14" s="13">
        <f>IFERROR((C14-B14)/C14,0)</f>
        <v/>
      </c>
    </row>
    <row r="15">
      <c r="A15" s="16" t="inlineStr">
        <is>
          <t>2026-01-06 17:55:00</t>
        </is>
      </c>
      <c r="B15" s="25" t="n">
        <v>500000</v>
      </c>
      <c r="C15" s="25">
        <f>MAX($B$2:B15)</f>
        <v/>
      </c>
      <c r="D15" s="19">
        <f>IFERROR((C15-B15)/C15,0)</f>
        <v/>
      </c>
    </row>
    <row r="16">
      <c r="A16" s="10" t="inlineStr">
        <is>
          <t>2026-01-06 20:55:00</t>
        </is>
      </c>
      <c r="B16" s="26" t="n">
        <v>500000</v>
      </c>
      <c r="C16" s="26">
        <f>MAX($B$2:B16)</f>
        <v/>
      </c>
      <c r="D16" s="13">
        <f>IFERROR((C16-B16)/C16,0)</f>
        <v/>
      </c>
    </row>
    <row r="17">
      <c r="A17" s="16" t="inlineStr">
        <is>
          <t>2026-01-06 23:55:00</t>
        </is>
      </c>
      <c r="B17" s="25" t="n">
        <v>500000</v>
      </c>
      <c r="C17" s="25">
        <f>MAX($B$2:B17)</f>
        <v/>
      </c>
      <c r="D17" s="19">
        <f>IFERROR((C17-B17)/C17,0)</f>
        <v/>
      </c>
    </row>
    <row r="18">
      <c r="A18" s="10" t="inlineStr">
        <is>
          <t>2026-01-07 02:55:00</t>
        </is>
      </c>
      <c r="B18" s="26" t="n">
        <v>500000</v>
      </c>
      <c r="C18" s="26">
        <f>MAX($B$2:B18)</f>
        <v/>
      </c>
      <c r="D18" s="13">
        <f>IFERROR((C18-B18)/C18,0)</f>
        <v/>
      </c>
    </row>
    <row r="19">
      <c r="A19" s="16" t="inlineStr">
        <is>
          <t>2026-01-07 05:55:00</t>
        </is>
      </c>
      <c r="B19" s="25" t="n">
        <v>500000</v>
      </c>
      <c r="C19" s="25">
        <f>MAX($B$2:B19)</f>
        <v/>
      </c>
      <c r="D19" s="19">
        <f>IFERROR((C19-B19)/C19,0)</f>
        <v/>
      </c>
    </row>
    <row r="20">
      <c r="A20" s="10" t="inlineStr">
        <is>
          <t>2026-01-07 08:55:00</t>
        </is>
      </c>
      <c r="B20" s="26" t="n">
        <v>500000</v>
      </c>
      <c r="C20" s="26">
        <f>MAX($B$2:B20)</f>
        <v/>
      </c>
      <c r="D20" s="13">
        <f>IFERROR((C20-B20)/C20,0)</f>
        <v/>
      </c>
    </row>
    <row r="21">
      <c r="A21" s="16" t="inlineStr">
        <is>
          <t>2026-01-07 11:55:00</t>
        </is>
      </c>
      <c r="B21" s="25" t="n">
        <v>500000</v>
      </c>
      <c r="C21" s="25">
        <f>MAX($B$2:B21)</f>
        <v/>
      </c>
      <c r="D21" s="19">
        <f>IFERROR((C21-B21)/C21,0)</f>
        <v/>
      </c>
    </row>
    <row r="22">
      <c r="A22" s="10" t="inlineStr">
        <is>
          <t>2026-01-07 14:55:00</t>
        </is>
      </c>
      <c r="B22" s="26" t="n">
        <v>500000</v>
      </c>
      <c r="C22" s="26">
        <f>MAX($B$2:B22)</f>
        <v/>
      </c>
      <c r="D22" s="13">
        <f>IFERROR((C22-B22)/C22,0)</f>
        <v/>
      </c>
    </row>
    <row r="23">
      <c r="A23" s="16" t="inlineStr">
        <is>
          <t>2026-01-07 17:55:00</t>
        </is>
      </c>
      <c r="B23" s="25" t="n">
        <v>500000</v>
      </c>
      <c r="C23" s="25">
        <f>MAX($B$2:B23)</f>
        <v/>
      </c>
      <c r="D23" s="19">
        <f>IFERROR((C23-B23)/C23,0)</f>
        <v/>
      </c>
    </row>
    <row r="24">
      <c r="A24" s="10" t="inlineStr">
        <is>
          <t>2026-01-07 20:55:00</t>
        </is>
      </c>
      <c r="B24" s="26" t="n">
        <v>500000</v>
      </c>
      <c r="C24" s="26">
        <f>MAX($B$2:B24)</f>
        <v/>
      </c>
      <c r="D24" s="13">
        <f>IFERROR((C24-B24)/C24,0)</f>
        <v/>
      </c>
    </row>
    <row r="25">
      <c r="A25" s="16" t="inlineStr">
        <is>
          <t>2026-01-07 23:55:00</t>
        </is>
      </c>
      <c r="B25" s="25" t="n">
        <v>500000</v>
      </c>
      <c r="C25" s="25">
        <f>MAX($B$2:B25)</f>
        <v/>
      </c>
      <c r="D25" s="19">
        <f>IFERROR((C25-B25)/C25,0)</f>
        <v/>
      </c>
    </row>
    <row r="26">
      <c r="A26" s="10" t="inlineStr">
        <is>
          <t>2026-01-08 02:55:00</t>
        </is>
      </c>
      <c r="B26" s="26" t="n">
        <v>500000</v>
      </c>
      <c r="C26" s="26">
        <f>MAX($B$2:B26)</f>
        <v/>
      </c>
      <c r="D26" s="13">
        <f>IFERROR((C26-B26)/C26,0)</f>
        <v/>
      </c>
    </row>
    <row r="27">
      <c r="A27" s="16" t="inlineStr">
        <is>
          <t>2026-01-08 05:55:00</t>
        </is>
      </c>
      <c r="B27" s="25" t="n">
        <v>500000</v>
      </c>
      <c r="C27" s="25">
        <f>MAX($B$2:B27)</f>
        <v/>
      </c>
      <c r="D27" s="19">
        <f>IFERROR((C27-B27)/C27,0)</f>
        <v/>
      </c>
    </row>
    <row r="28">
      <c r="A28" s="10" t="inlineStr">
        <is>
          <t>2026-01-08 08:55:00</t>
        </is>
      </c>
      <c r="B28" s="26" t="n">
        <v>500000</v>
      </c>
      <c r="C28" s="26">
        <f>MAX($B$2:B28)</f>
        <v/>
      </c>
      <c r="D28" s="13">
        <f>IFERROR((C28-B28)/C28,0)</f>
        <v/>
      </c>
    </row>
    <row r="29">
      <c r="A29" s="16" t="inlineStr">
        <is>
          <t>2026-01-08 11:55:00</t>
        </is>
      </c>
      <c r="B29" s="25" t="n">
        <v>500000</v>
      </c>
      <c r="C29" s="25">
        <f>MAX($B$2:B29)</f>
        <v/>
      </c>
      <c r="D29" s="19">
        <f>IFERROR((C29-B29)/C29,0)</f>
        <v/>
      </c>
    </row>
    <row r="30">
      <c r="A30" s="10" t="inlineStr">
        <is>
          <t>2026-01-08 14:55:00</t>
        </is>
      </c>
      <c r="B30" s="26" t="n">
        <v>500000</v>
      </c>
      <c r="C30" s="26">
        <f>MAX($B$2:B30)</f>
        <v/>
      </c>
      <c r="D30" s="13">
        <f>IFERROR((C30-B30)/C30,0)</f>
        <v/>
      </c>
    </row>
    <row r="31">
      <c r="A31" s="16" t="inlineStr">
        <is>
          <t>2026-01-08 17:55:00</t>
        </is>
      </c>
      <c r="B31" s="25" t="n">
        <v>500000</v>
      </c>
      <c r="C31" s="25">
        <f>MAX($B$2:B31)</f>
        <v/>
      </c>
      <c r="D31" s="19">
        <f>IFERROR((C31-B31)/C31,0)</f>
        <v/>
      </c>
    </row>
    <row r="32">
      <c r="A32" s="10" t="inlineStr">
        <is>
          <t>2026-01-08 20:55:00</t>
        </is>
      </c>
      <c r="B32" s="26" t="n">
        <v>500000</v>
      </c>
      <c r="C32" s="26">
        <f>MAX($B$2:B32)</f>
        <v/>
      </c>
      <c r="D32" s="13">
        <f>IFERROR((C32-B32)/C32,0)</f>
        <v/>
      </c>
    </row>
    <row r="33">
      <c r="A33" s="16" t="inlineStr">
        <is>
          <t>2026-01-08 23:55:00</t>
        </is>
      </c>
      <c r="B33" s="25" t="n">
        <v>500000</v>
      </c>
      <c r="C33" s="25">
        <f>MAX($B$2:B33)</f>
        <v/>
      </c>
      <c r="D33" s="19">
        <f>IFERROR((C33-B33)/C33,0)</f>
        <v/>
      </c>
    </row>
    <row r="34">
      <c r="A34" s="10" t="inlineStr">
        <is>
          <t>2026-01-09 02:55:00</t>
        </is>
      </c>
      <c r="B34" s="26" t="n">
        <v>500000</v>
      </c>
      <c r="C34" s="26">
        <f>MAX($B$2:B34)</f>
        <v/>
      </c>
      <c r="D34" s="13">
        <f>IFERROR((C34-B34)/C34,0)</f>
        <v/>
      </c>
    </row>
    <row r="35">
      <c r="A35" s="16" t="inlineStr">
        <is>
          <t>2026-01-09 05:55:00</t>
        </is>
      </c>
      <c r="B35" s="25" t="n">
        <v>500000</v>
      </c>
      <c r="C35" s="25">
        <f>MAX($B$2:B35)</f>
        <v/>
      </c>
      <c r="D35" s="19">
        <f>IFERROR((C35-B35)/C35,0)</f>
        <v/>
      </c>
    </row>
    <row r="36">
      <c r="A36" s="10" t="inlineStr">
        <is>
          <t>2026-01-09 08:55:00</t>
        </is>
      </c>
      <c r="B36" s="26" t="n">
        <v>686024.75</v>
      </c>
      <c r="C36" s="26">
        <f>MAX($B$2:B36)</f>
        <v/>
      </c>
      <c r="D36" s="13">
        <f>IFERROR((C36-B36)/C36,0)</f>
        <v/>
      </c>
    </row>
    <row r="37">
      <c r="A37" s="16" t="inlineStr">
        <is>
          <t>2026-01-09 11:55:00</t>
        </is>
      </c>
      <c r="B37" s="25" t="n">
        <v>851995.98</v>
      </c>
      <c r="C37" s="25">
        <f>MAX($B$2:B37)</f>
        <v/>
      </c>
      <c r="D37" s="19">
        <f>IFERROR((C37-B37)/C37,0)</f>
        <v/>
      </c>
    </row>
    <row r="38">
      <c r="A38" s="10" t="inlineStr">
        <is>
          <t>2026-01-09 14:55:00</t>
        </is>
      </c>
      <c r="B38" s="26" t="n">
        <v>1015669.48</v>
      </c>
      <c r="C38" s="26">
        <f>MAX($B$2:B38)</f>
        <v/>
      </c>
      <c r="D38" s="13">
        <f>IFERROR((C38-B38)/C38,0)</f>
        <v/>
      </c>
    </row>
    <row r="39">
      <c r="A39" s="16" t="inlineStr">
        <is>
          <t>2026-01-09 17:55:00</t>
        </is>
      </c>
      <c r="B39" s="25" t="n">
        <v>802768.98</v>
      </c>
      <c r="C39" s="25">
        <f>MAX($B$2:B39)</f>
        <v/>
      </c>
      <c r="D39" s="19">
        <f>IFERROR((C39-B39)/C39,0)</f>
        <v/>
      </c>
    </row>
    <row r="40">
      <c r="A40" s="10" t="inlineStr">
        <is>
          <t>2026-01-09 20:55:00</t>
        </is>
      </c>
      <c r="B40" s="26" t="n">
        <v>1093040.98</v>
      </c>
      <c r="C40" s="26">
        <f>MAX($B$2:B40)</f>
        <v/>
      </c>
      <c r="D40" s="13">
        <f>IFERROR((C40-B40)/C40,0)</f>
        <v/>
      </c>
    </row>
    <row r="41">
      <c r="A41" s="16" t="inlineStr">
        <is>
          <t>2026-01-09 23:55:00</t>
        </is>
      </c>
      <c r="B41" s="25" t="n">
        <v>1093040.98</v>
      </c>
      <c r="C41" s="25">
        <f>MAX($B$2:B41)</f>
        <v/>
      </c>
      <c r="D41" s="19">
        <f>IFERROR((C41-B41)/C41,0)</f>
        <v/>
      </c>
    </row>
    <row r="42">
      <c r="A42" s="10" t="inlineStr">
        <is>
          <t>2026-01-10 02:55:00</t>
        </is>
      </c>
      <c r="B42" s="26" t="n">
        <v>1093040.98</v>
      </c>
      <c r="C42" s="26">
        <f>MAX($B$2:B42)</f>
        <v/>
      </c>
      <c r="D42" s="13">
        <f>IFERROR((C42-B42)/C42,0)</f>
        <v/>
      </c>
    </row>
    <row r="43">
      <c r="A43" s="16" t="inlineStr">
        <is>
          <t>2026-01-10 05:55:00</t>
        </is>
      </c>
      <c r="B43" s="25" t="n">
        <v>1093040.98</v>
      </c>
      <c r="C43" s="25">
        <f>MAX($B$2:B43)</f>
        <v/>
      </c>
      <c r="D43" s="19">
        <f>IFERROR((C43-B43)/C43,0)</f>
        <v/>
      </c>
    </row>
    <row r="44">
      <c r="A44" s="10" t="inlineStr">
        <is>
          <t>2026-01-10 08:55:00</t>
        </is>
      </c>
      <c r="B44" s="26" t="n">
        <v>1093040.98</v>
      </c>
      <c r="C44" s="26">
        <f>MAX($B$2:B44)</f>
        <v/>
      </c>
      <c r="D44" s="13">
        <f>IFERROR((C44-B44)/C44,0)</f>
        <v/>
      </c>
    </row>
    <row r="45">
      <c r="A45" s="16" t="inlineStr">
        <is>
          <t>2026-01-10 11:55:00</t>
        </is>
      </c>
      <c r="B45" s="25" t="n">
        <v>1093040.98</v>
      </c>
      <c r="C45" s="25">
        <f>MAX($B$2:B45)</f>
        <v/>
      </c>
      <c r="D45" s="19">
        <f>IFERROR((C45-B45)/C45,0)</f>
        <v/>
      </c>
    </row>
    <row r="46">
      <c r="A46" s="10" t="inlineStr">
        <is>
          <t>2026-01-10 14:55:00</t>
        </is>
      </c>
      <c r="B46" s="26" t="n">
        <v>1093040.98</v>
      </c>
      <c r="C46" s="26">
        <f>MAX($B$2:B46)</f>
        <v/>
      </c>
      <c r="D46" s="13">
        <f>IFERROR((C46-B46)/C46,0)</f>
        <v/>
      </c>
    </row>
    <row r="47">
      <c r="A47" s="16" t="inlineStr">
        <is>
          <t>2026-01-10 17:55:00</t>
        </is>
      </c>
      <c r="B47" s="25" t="n">
        <v>1093040.98</v>
      </c>
      <c r="C47" s="25">
        <f>MAX($B$2:B47)</f>
        <v/>
      </c>
      <c r="D47" s="19">
        <f>IFERROR((C47-B47)/C47,0)</f>
        <v/>
      </c>
    </row>
    <row r="48">
      <c r="A48" s="10" t="inlineStr">
        <is>
          <t>2026-01-10 20:55:00</t>
        </is>
      </c>
      <c r="B48" s="26" t="n">
        <v>1093040.98</v>
      </c>
      <c r="C48" s="26">
        <f>MAX($B$2:B48)</f>
        <v/>
      </c>
      <c r="D48" s="13">
        <f>IFERROR((C48-B48)/C48,0)</f>
        <v/>
      </c>
    </row>
    <row r="49">
      <c r="A49" s="16" t="inlineStr">
        <is>
          <t>2026-01-10 23:55:00</t>
        </is>
      </c>
      <c r="B49" s="25" t="n">
        <v>1093040.98</v>
      </c>
      <c r="C49" s="25">
        <f>MAX($B$2:B49)</f>
        <v/>
      </c>
      <c r="D49" s="19">
        <f>IFERROR((C49-B49)/C49,0)</f>
        <v/>
      </c>
    </row>
    <row r="50">
      <c r="A50" s="10" t="inlineStr">
        <is>
          <t>2026-01-11 02:55:00</t>
        </is>
      </c>
      <c r="B50" s="26" t="n">
        <v>1093040.98</v>
      </c>
      <c r="C50" s="26">
        <f>MAX($B$2:B50)</f>
        <v/>
      </c>
      <c r="D50" s="13">
        <f>IFERROR((C50-B50)/C50,0)</f>
        <v/>
      </c>
    </row>
    <row r="51">
      <c r="A51" s="16" t="inlineStr">
        <is>
          <t>2026-01-11 05:55:00</t>
        </is>
      </c>
      <c r="B51" s="25" t="n">
        <v>1093040.98</v>
      </c>
      <c r="C51" s="25">
        <f>MAX($B$2:B51)</f>
        <v/>
      </c>
      <c r="D51" s="19">
        <f>IFERROR((C51-B51)/C51,0)</f>
        <v/>
      </c>
    </row>
    <row r="52">
      <c r="A52" s="10" t="inlineStr">
        <is>
          <t>2026-01-11 08:55:00</t>
        </is>
      </c>
      <c r="B52" s="26" t="n">
        <v>1093040.98</v>
      </c>
      <c r="C52" s="26">
        <f>MAX($B$2:B52)</f>
        <v/>
      </c>
      <c r="D52" s="13">
        <f>IFERROR((C52-B52)/C52,0)</f>
        <v/>
      </c>
    </row>
    <row r="53">
      <c r="A53" s="16" t="inlineStr">
        <is>
          <t>2026-01-11 11:55:00</t>
        </is>
      </c>
      <c r="B53" s="25" t="n">
        <v>1093040.98</v>
      </c>
      <c r="C53" s="25">
        <f>MAX($B$2:B53)</f>
        <v/>
      </c>
      <c r="D53" s="19">
        <f>IFERROR((C53-B53)/C53,0)</f>
        <v/>
      </c>
    </row>
    <row r="54">
      <c r="A54" s="10" t="inlineStr">
        <is>
          <t>2026-01-11 14:55:00</t>
        </is>
      </c>
      <c r="B54" s="26" t="n">
        <v>1093040.98</v>
      </c>
      <c r="C54" s="26">
        <f>MAX($B$2:B54)</f>
        <v/>
      </c>
      <c r="D54" s="13">
        <f>IFERROR((C54-B54)/C54,0)</f>
        <v/>
      </c>
    </row>
    <row r="55">
      <c r="A55" s="16" t="inlineStr">
        <is>
          <t>2026-01-11 17:55:00</t>
        </is>
      </c>
      <c r="B55" s="25" t="n">
        <v>1093040.98</v>
      </c>
      <c r="C55" s="25">
        <f>MAX($B$2:B55)</f>
        <v/>
      </c>
      <c r="D55" s="19">
        <f>IFERROR((C55-B55)/C55,0)</f>
        <v/>
      </c>
    </row>
    <row r="56">
      <c r="A56" s="10" t="inlineStr">
        <is>
          <t>2026-01-11 20:55:00</t>
        </is>
      </c>
      <c r="B56" s="26" t="n">
        <v>1093040.98</v>
      </c>
      <c r="C56" s="26">
        <f>MAX($B$2:B56)</f>
        <v/>
      </c>
      <c r="D56" s="13">
        <f>IFERROR((C56-B56)/C56,0)</f>
        <v/>
      </c>
    </row>
    <row r="57">
      <c r="A57" s="16" t="inlineStr">
        <is>
          <t>2026-01-11 23:55:00</t>
        </is>
      </c>
      <c r="B57" s="25" t="n">
        <v>1093040.98</v>
      </c>
      <c r="C57" s="25">
        <f>MAX($B$2:B57)</f>
        <v/>
      </c>
      <c r="D57" s="19">
        <f>IFERROR((C57-B57)/C57,0)</f>
        <v/>
      </c>
    </row>
    <row r="58">
      <c r="A58" s="10" t="inlineStr">
        <is>
          <t>2026-01-12 02:55:00</t>
        </is>
      </c>
      <c r="B58" s="26" t="n">
        <v>1093040.98</v>
      </c>
      <c r="C58" s="26">
        <f>MAX($B$2:B58)</f>
        <v/>
      </c>
      <c r="D58" s="13">
        <f>IFERROR((C58-B58)/C58,0)</f>
        <v/>
      </c>
    </row>
    <row r="59">
      <c r="A59" s="16" t="inlineStr">
        <is>
          <t>2026-01-12 05:55:00</t>
        </is>
      </c>
      <c r="B59" s="25" t="n">
        <v>1093040.98</v>
      </c>
      <c r="C59" s="25">
        <f>MAX($B$2:B59)</f>
        <v/>
      </c>
      <c r="D59" s="19">
        <f>IFERROR((C59-B59)/C59,0)</f>
        <v/>
      </c>
    </row>
    <row r="60">
      <c r="A60" s="10" t="inlineStr">
        <is>
          <t>2026-01-12 08:55:00</t>
        </is>
      </c>
      <c r="B60" s="26" t="n">
        <v>1093040.98</v>
      </c>
      <c r="C60" s="26">
        <f>MAX($B$2:B60)</f>
        <v/>
      </c>
      <c r="D60" s="13">
        <f>IFERROR((C60-B60)/C60,0)</f>
        <v/>
      </c>
    </row>
    <row r="61">
      <c r="A61" s="16" t="inlineStr">
        <is>
          <t>2026-01-12 11:55:00</t>
        </is>
      </c>
      <c r="B61" s="25" t="n">
        <v>1093040.98</v>
      </c>
      <c r="C61" s="25">
        <f>MAX($B$2:B61)</f>
        <v/>
      </c>
      <c r="D61" s="19">
        <f>IFERROR((C61-B61)/C61,0)</f>
        <v/>
      </c>
    </row>
    <row r="62">
      <c r="A62" s="10" t="inlineStr">
        <is>
          <t>2026-01-12 14:55:00</t>
        </is>
      </c>
      <c r="B62" s="26" t="n">
        <v>1093040.98</v>
      </c>
      <c r="C62" s="26">
        <f>MAX($B$2:B62)</f>
        <v/>
      </c>
      <c r="D62" s="13">
        <f>IFERROR((C62-B62)/C62,0)</f>
        <v/>
      </c>
    </row>
    <row r="63">
      <c r="A63" s="16" t="inlineStr">
        <is>
          <t>2026-01-12 17:55:00</t>
        </is>
      </c>
      <c r="B63" s="25" t="n">
        <v>1093040.98</v>
      </c>
      <c r="C63" s="25">
        <f>MAX($B$2:B63)</f>
        <v/>
      </c>
      <c r="D63" s="19">
        <f>IFERROR((C63-B63)/C63,0)</f>
        <v/>
      </c>
    </row>
    <row r="64">
      <c r="A64" s="10" t="inlineStr">
        <is>
          <t>2026-01-12 20:55:00</t>
        </is>
      </c>
      <c r="B64" s="26" t="n">
        <v>1093040.98</v>
      </c>
      <c r="C64" s="26">
        <f>MAX($B$2:B64)</f>
        <v/>
      </c>
      <c r="D64" s="13">
        <f>IFERROR((C64-B64)/C64,0)</f>
        <v/>
      </c>
    </row>
    <row r="65">
      <c r="A65" s="16" t="inlineStr">
        <is>
          <t>2026-01-12 23:55:00</t>
        </is>
      </c>
      <c r="B65" s="25" t="n">
        <v>1093040.98</v>
      </c>
      <c r="C65" s="25">
        <f>MAX($B$2:B65)</f>
        <v/>
      </c>
      <c r="D65" s="19">
        <f>IFERROR((C65-B65)/C65,0)</f>
        <v/>
      </c>
    </row>
    <row r="66">
      <c r="A66" s="10" t="inlineStr">
        <is>
          <t>2026-01-13 02:55:00</t>
        </is>
      </c>
      <c r="B66" s="26" t="n">
        <v>1093040.98</v>
      </c>
      <c r="C66" s="26">
        <f>MAX($B$2:B66)</f>
        <v/>
      </c>
      <c r="D66" s="13">
        <f>IFERROR((C66-B66)/C66,0)</f>
        <v/>
      </c>
    </row>
    <row r="67">
      <c r="A67" s="16" t="inlineStr">
        <is>
          <t>2026-01-13 05:55:00</t>
        </is>
      </c>
      <c r="B67" s="25" t="n">
        <v>1093040.98</v>
      </c>
      <c r="C67" s="25">
        <f>MAX($B$2:B67)</f>
        <v/>
      </c>
      <c r="D67" s="19">
        <f>IFERROR((C67-B67)/C67,0)</f>
        <v/>
      </c>
    </row>
    <row r="68">
      <c r="A68" s="10" t="inlineStr">
        <is>
          <t>2026-01-13 08:55:00</t>
        </is>
      </c>
      <c r="B68" s="26" t="n">
        <v>1093040.98</v>
      </c>
      <c r="C68" s="26">
        <f>MAX($B$2:B68)</f>
        <v/>
      </c>
      <c r="D68" s="13">
        <f>IFERROR((C68-B68)/C68,0)</f>
        <v/>
      </c>
    </row>
    <row r="69">
      <c r="A69" s="16" t="inlineStr">
        <is>
          <t>2026-01-13 11:55:00</t>
        </is>
      </c>
      <c r="B69" s="25" t="n">
        <v>1093040.98</v>
      </c>
      <c r="C69" s="25">
        <f>MAX($B$2:B69)</f>
        <v/>
      </c>
      <c r="D69" s="19">
        <f>IFERROR((C69-B69)/C69,0)</f>
        <v/>
      </c>
    </row>
    <row r="70">
      <c r="A70" s="10" t="inlineStr">
        <is>
          <t>2026-01-13 14:55:00</t>
        </is>
      </c>
      <c r="B70" s="26" t="n">
        <v>1093040.98</v>
      </c>
      <c r="C70" s="26">
        <f>MAX($B$2:B70)</f>
        <v/>
      </c>
      <c r="D70" s="13">
        <f>IFERROR((C70-B70)/C70,0)</f>
        <v/>
      </c>
    </row>
    <row r="71">
      <c r="A71" s="16" t="inlineStr">
        <is>
          <t>2026-01-13 17:55:00</t>
        </is>
      </c>
      <c r="B71" s="25" t="n">
        <v>1093040.98</v>
      </c>
      <c r="C71" s="25">
        <f>MAX($B$2:B71)</f>
        <v/>
      </c>
      <c r="D71" s="19">
        <f>IFERROR((C71-B71)/C71,0)</f>
        <v/>
      </c>
    </row>
    <row r="72">
      <c r="A72" s="10" t="inlineStr">
        <is>
          <t>2026-01-13 20:55:00</t>
        </is>
      </c>
      <c r="B72" s="26" t="n">
        <v>1093040.98</v>
      </c>
      <c r="C72" s="26">
        <f>MAX($B$2:B72)</f>
        <v/>
      </c>
      <c r="D72" s="13">
        <f>IFERROR((C72-B72)/C72,0)</f>
        <v/>
      </c>
    </row>
    <row r="73">
      <c r="A73" s="16" t="inlineStr">
        <is>
          <t>2026-01-13 23:55:00</t>
        </is>
      </c>
      <c r="B73" s="25" t="n">
        <v>1093040.98</v>
      </c>
      <c r="C73" s="25">
        <f>MAX($B$2:B73)</f>
        <v/>
      </c>
      <c r="D73" s="19">
        <f>IFERROR((C73-B73)/C73,0)</f>
        <v/>
      </c>
    </row>
    <row r="74">
      <c r="A74" s="10" t="inlineStr">
        <is>
          <t>2026-01-14 02:55:00</t>
        </is>
      </c>
      <c r="B74" s="26" t="n">
        <v>1093040.98</v>
      </c>
      <c r="C74" s="26">
        <f>MAX($B$2:B74)</f>
        <v/>
      </c>
      <c r="D74" s="13">
        <f>IFERROR((C74-B74)/C74,0)</f>
        <v/>
      </c>
    </row>
    <row r="75">
      <c r="A75" s="16" t="inlineStr">
        <is>
          <t>2026-01-14 05:55:00</t>
        </is>
      </c>
      <c r="B75" s="25" t="n">
        <v>1093040.98</v>
      </c>
      <c r="C75" s="25">
        <f>MAX($B$2:B75)</f>
        <v/>
      </c>
      <c r="D75" s="19">
        <f>IFERROR((C75-B75)/C75,0)</f>
        <v/>
      </c>
    </row>
    <row r="76">
      <c r="A76" s="10" t="inlineStr">
        <is>
          <t>2026-01-14 08:55:00</t>
        </is>
      </c>
      <c r="B76" s="26" t="n">
        <v>1093040.98</v>
      </c>
      <c r="C76" s="26">
        <f>MAX($B$2:B76)</f>
        <v/>
      </c>
      <c r="D76" s="13">
        <f>IFERROR((C76-B76)/C76,0)</f>
        <v/>
      </c>
    </row>
    <row r="77">
      <c r="A77" s="16" t="inlineStr">
        <is>
          <t>2026-01-14 11:55:00</t>
        </is>
      </c>
      <c r="B77" s="25" t="n">
        <v>1190517.31</v>
      </c>
      <c r="C77" s="25">
        <f>MAX($B$2:B77)</f>
        <v/>
      </c>
      <c r="D77" s="19">
        <f>IFERROR((C77-B77)/C77,0)</f>
        <v/>
      </c>
    </row>
    <row r="78">
      <c r="A78" s="10" t="inlineStr">
        <is>
          <t>2026-01-14 14:55:00</t>
        </is>
      </c>
      <c r="B78" s="26" t="n">
        <v>1499055.68</v>
      </c>
      <c r="C78" s="26">
        <f>MAX($B$2:B78)</f>
        <v/>
      </c>
      <c r="D78" s="13">
        <f>IFERROR((C78-B78)/C78,0)</f>
        <v/>
      </c>
    </row>
    <row r="79">
      <c r="A79" s="16" t="inlineStr">
        <is>
          <t>2026-01-14 17:55:00</t>
        </is>
      </c>
      <c r="B79" s="25" t="n">
        <v>1818763.99</v>
      </c>
      <c r="C79" s="25">
        <f>MAX($B$2:B79)</f>
        <v/>
      </c>
      <c r="D79" s="19">
        <f>IFERROR((C79-B79)/C79,0)</f>
        <v/>
      </c>
    </row>
    <row r="80">
      <c r="A80" s="10" t="inlineStr">
        <is>
          <t>2026-01-14 20:55:00</t>
        </is>
      </c>
      <c r="B80" s="26" t="n">
        <v>1993541.56</v>
      </c>
      <c r="C80" s="26">
        <f>MAX($B$2:B80)</f>
        <v/>
      </c>
      <c r="D80" s="13">
        <f>IFERROR((C80-B80)/C80,0)</f>
        <v/>
      </c>
    </row>
    <row r="81">
      <c r="A81" s="16" t="inlineStr">
        <is>
          <t>2026-01-14 23:55:00</t>
        </is>
      </c>
      <c r="B81" s="25" t="n">
        <v>1956410.98</v>
      </c>
      <c r="C81" s="25">
        <f>MAX($B$2:B81)</f>
        <v/>
      </c>
      <c r="D81" s="19">
        <f>IFERROR((C81-B81)/C81,0)</f>
        <v/>
      </c>
    </row>
    <row r="82">
      <c r="A82" s="10" t="inlineStr">
        <is>
          <t>2026-01-15 02:55:00</t>
        </is>
      </c>
      <c r="B82" s="26" t="n">
        <v>1956410.98</v>
      </c>
      <c r="C82" s="26">
        <f>MAX($B$2:B82)</f>
        <v/>
      </c>
      <c r="D82" s="13">
        <f>IFERROR((C82-B82)/C82,0)</f>
        <v/>
      </c>
    </row>
    <row r="83">
      <c r="A83" s="16" t="inlineStr">
        <is>
          <t>2026-01-15 05:55:00</t>
        </is>
      </c>
      <c r="B83" s="25" t="n">
        <v>1956410.98</v>
      </c>
      <c r="C83" s="25">
        <f>MAX($B$2:B83)</f>
        <v/>
      </c>
      <c r="D83" s="19">
        <f>IFERROR((C83-B83)/C83,0)</f>
        <v/>
      </c>
    </row>
    <row r="84">
      <c r="A84" s="10" t="inlineStr">
        <is>
          <t>2026-01-15 08:55:00</t>
        </is>
      </c>
      <c r="B84" s="26" t="n">
        <v>1956410.98</v>
      </c>
      <c r="C84" s="26">
        <f>MAX($B$2:B84)</f>
        <v/>
      </c>
      <c r="D84" s="13">
        <f>IFERROR((C84-B84)/C84,0)</f>
        <v/>
      </c>
    </row>
    <row r="85">
      <c r="A85" s="16" t="inlineStr">
        <is>
          <t>2026-01-15 11:55:00</t>
        </is>
      </c>
      <c r="B85" s="25" t="n">
        <v>1956410.98</v>
      </c>
      <c r="C85" s="25">
        <f>MAX($B$2:B85)</f>
        <v/>
      </c>
      <c r="D85" s="19">
        <f>IFERROR((C85-B85)/C85,0)</f>
        <v/>
      </c>
    </row>
    <row r="86">
      <c r="A86" s="10" t="inlineStr">
        <is>
          <t>2026-01-15 14:55:00</t>
        </is>
      </c>
      <c r="B86" s="26" t="n">
        <v>1956410.98</v>
      </c>
      <c r="C86" s="26">
        <f>MAX($B$2:B86)</f>
        <v/>
      </c>
      <c r="D86" s="13">
        <f>IFERROR((C86-B86)/C86,0)</f>
        <v/>
      </c>
    </row>
    <row r="87">
      <c r="A87" s="16" t="inlineStr">
        <is>
          <t>2026-01-15 17:55:00</t>
        </is>
      </c>
      <c r="B87" s="25" t="n">
        <v>1965628.67</v>
      </c>
      <c r="C87" s="25">
        <f>MAX($B$2:B87)</f>
        <v/>
      </c>
      <c r="D87" s="19">
        <f>IFERROR((C87-B87)/C87,0)</f>
        <v/>
      </c>
    </row>
    <row r="88">
      <c r="A88" s="10" t="inlineStr">
        <is>
          <t>2026-01-15 20:55:00</t>
        </is>
      </c>
      <c r="B88" s="26" t="n">
        <v>2001794.32</v>
      </c>
      <c r="C88" s="26">
        <f>MAX($B$2:B88)</f>
        <v/>
      </c>
      <c r="D88" s="13">
        <f>IFERROR((C88-B88)/C88,0)</f>
        <v/>
      </c>
    </row>
    <row r="89">
      <c r="A89" s="16" t="inlineStr">
        <is>
          <t>2026-01-15 23:55:00</t>
        </is>
      </c>
      <c r="B89" s="25" t="n">
        <v>2037859.76</v>
      </c>
      <c r="C89" s="25">
        <f>MAX($B$2:B89)</f>
        <v/>
      </c>
      <c r="D89" s="19">
        <f>IFERROR((C89-B89)/C89,0)</f>
        <v/>
      </c>
    </row>
    <row r="90">
      <c r="A90" s="10" t="inlineStr">
        <is>
          <t>2026-01-16 02:55:00</t>
        </is>
      </c>
      <c r="B90" s="26" t="n">
        <v>2075755.04</v>
      </c>
      <c r="C90" s="26">
        <f>MAX($B$2:B90)</f>
        <v/>
      </c>
      <c r="D90" s="13">
        <f>IFERROR((C90-B90)/C90,0)</f>
        <v/>
      </c>
    </row>
    <row r="91">
      <c r="A91" s="16" t="inlineStr">
        <is>
          <t>2026-01-16 05:55:00</t>
        </is>
      </c>
      <c r="B91" s="25" t="n">
        <v>2065960.98</v>
      </c>
      <c r="C91" s="25">
        <f>MAX($B$2:B91)</f>
        <v/>
      </c>
      <c r="D91" s="19">
        <f>IFERROR((C91-B91)/C91,0)</f>
        <v/>
      </c>
    </row>
    <row r="92">
      <c r="A92" s="10" t="inlineStr">
        <is>
          <t>2026-01-16 08:55:00</t>
        </is>
      </c>
      <c r="B92" s="26" t="n">
        <v>2065960.98</v>
      </c>
      <c r="C92" s="26">
        <f>MAX($B$2:B92)</f>
        <v/>
      </c>
      <c r="D92" s="13">
        <f>IFERROR((C92-B92)/C92,0)</f>
        <v/>
      </c>
    </row>
    <row r="93">
      <c r="A93" s="16" t="inlineStr">
        <is>
          <t>2026-01-16 11:55:00</t>
        </is>
      </c>
      <c r="B93" s="25" t="n">
        <v>2065960.98</v>
      </c>
      <c r="C93" s="25">
        <f>MAX($B$2:B93)</f>
        <v/>
      </c>
      <c r="D93" s="19">
        <f>IFERROR((C93-B93)/C93,0)</f>
        <v/>
      </c>
    </row>
    <row r="94">
      <c r="A94" s="10" t="inlineStr">
        <is>
          <t>2026-01-16 14:55:00</t>
        </is>
      </c>
      <c r="B94" s="26" t="n">
        <v>2065960.98</v>
      </c>
      <c r="C94" s="26">
        <f>MAX($B$2:B94)</f>
        <v/>
      </c>
      <c r="D94" s="13">
        <f>IFERROR((C94-B94)/C94,0)</f>
        <v/>
      </c>
    </row>
    <row r="95">
      <c r="A95" s="16" t="inlineStr">
        <is>
          <t>2026-01-16 17:55:00</t>
        </is>
      </c>
      <c r="B95" s="25" t="n">
        <v>2065960.98</v>
      </c>
      <c r="C95" s="25">
        <f>MAX($B$2:B95)</f>
        <v/>
      </c>
      <c r="D95" s="19">
        <f>IFERROR((C95-B95)/C95,0)</f>
        <v/>
      </c>
    </row>
    <row r="96">
      <c r="A96" s="10" t="inlineStr">
        <is>
          <t>2026-01-16 20:55:00</t>
        </is>
      </c>
      <c r="B96" s="26" t="n">
        <v>2065960.98</v>
      </c>
      <c r="C96" s="26">
        <f>MAX($B$2:B96)</f>
        <v/>
      </c>
      <c r="D96" s="13">
        <f>IFERROR((C96-B96)/C96,0)</f>
        <v/>
      </c>
    </row>
    <row r="97">
      <c r="A97" s="16" t="inlineStr">
        <is>
          <t>2026-01-16 23:55:00</t>
        </is>
      </c>
      <c r="B97" s="25" t="n">
        <v>2065960.98</v>
      </c>
      <c r="C97" s="25">
        <f>MAX($B$2:B97)</f>
        <v/>
      </c>
      <c r="D97" s="19">
        <f>IFERROR((C97-B97)/C97,0)</f>
        <v/>
      </c>
    </row>
    <row r="98">
      <c r="A98" s="10" t="inlineStr">
        <is>
          <t>2026-01-17 02:55:00</t>
        </is>
      </c>
      <c r="B98" s="26" t="n">
        <v>2065960.98</v>
      </c>
      <c r="C98" s="26">
        <f>MAX($B$2:B98)</f>
        <v/>
      </c>
      <c r="D98" s="13">
        <f>IFERROR((C98-B98)/C98,0)</f>
        <v/>
      </c>
    </row>
    <row r="99">
      <c r="A99" s="16" t="inlineStr">
        <is>
          <t>2026-01-17 05:55:00</t>
        </is>
      </c>
      <c r="B99" s="25" t="n">
        <v>2065960.98</v>
      </c>
      <c r="C99" s="25">
        <f>MAX($B$2:B99)</f>
        <v/>
      </c>
      <c r="D99" s="19">
        <f>IFERROR((C99-B99)/C99,0)</f>
        <v/>
      </c>
    </row>
    <row r="100">
      <c r="A100" s="10" t="inlineStr">
        <is>
          <t>2026-01-17 08:55:00</t>
        </is>
      </c>
      <c r="B100" s="26" t="n">
        <v>2065960.98</v>
      </c>
      <c r="C100" s="26">
        <f>MAX($B$2:B100)</f>
        <v/>
      </c>
      <c r="D100" s="13">
        <f>IFERROR((C100-B100)/C100,0)</f>
        <v/>
      </c>
    </row>
    <row r="101">
      <c r="A101" s="16" t="inlineStr">
        <is>
          <t>2026-01-17 11:55:00</t>
        </is>
      </c>
      <c r="B101" s="25" t="n">
        <v>2065960.98</v>
      </c>
      <c r="C101" s="25">
        <f>MAX($B$2:B101)</f>
        <v/>
      </c>
      <c r="D101" s="19">
        <f>IFERROR((C101-B101)/C101,0)</f>
        <v/>
      </c>
    </row>
    <row r="102">
      <c r="A102" s="10" t="inlineStr">
        <is>
          <t>2026-01-17 14:55:00</t>
        </is>
      </c>
      <c r="B102" s="26" t="n">
        <v>2065960.98</v>
      </c>
      <c r="C102" s="26">
        <f>MAX($B$2:B102)</f>
        <v/>
      </c>
      <c r="D102" s="13">
        <f>IFERROR((C102-B102)/C102,0)</f>
        <v/>
      </c>
    </row>
    <row r="103">
      <c r="A103" s="16" t="inlineStr">
        <is>
          <t>2026-01-17 17:55:00</t>
        </is>
      </c>
      <c r="B103" s="25" t="n">
        <v>2065960.98</v>
      </c>
      <c r="C103" s="25">
        <f>MAX($B$2:B103)</f>
        <v/>
      </c>
      <c r="D103" s="19">
        <f>IFERROR((C103-B103)/C103,0)</f>
        <v/>
      </c>
    </row>
    <row r="104">
      <c r="A104" s="10" t="inlineStr">
        <is>
          <t>2026-01-17 20:55:00</t>
        </is>
      </c>
      <c r="B104" s="26" t="n">
        <v>2065960.98</v>
      </c>
      <c r="C104" s="26">
        <f>MAX($B$2:B104)</f>
        <v/>
      </c>
      <c r="D104" s="13">
        <f>IFERROR((C104-B104)/C104,0)</f>
        <v/>
      </c>
    </row>
    <row r="105">
      <c r="A105" s="16" t="inlineStr">
        <is>
          <t>2026-01-17 23:55:00</t>
        </is>
      </c>
      <c r="B105" s="25" t="n">
        <v>2065960.98</v>
      </c>
      <c r="C105" s="25">
        <f>MAX($B$2:B105)</f>
        <v/>
      </c>
      <c r="D105" s="19">
        <f>IFERROR((C105-B105)/C105,0)</f>
        <v/>
      </c>
    </row>
    <row r="106">
      <c r="A106" s="10" t="inlineStr">
        <is>
          <t>2026-01-18 02:55:00</t>
        </is>
      </c>
      <c r="B106" s="26" t="n">
        <v>2065960.98</v>
      </c>
      <c r="C106" s="26">
        <f>MAX($B$2:B106)</f>
        <v/>
      </c>
      <c r="D106" s="13">
        <f>IFERROR((C106-B106)/C106,0)</f>
        <v/>
      </c>
    </row>
    <row r="107">
      <c r="A107" s="16" t="inlineStr">
        <is>
          <t>2026-01-18 05:55:00</t>
        </is>
      </c>
      <c r="B107" s="25" t="n">
        <v>2065960.98</v>
      </c>
      <c r="C107" s="25">
        <f>MAX($B$2:B107)</f>
        <v/>
      </c>
      <c r="D107" s="19">
        <f>IFERROR((C107-B107)/C107,0)</f>
        <v/>
      </c>
    </row>
    <row r="108">
      <c r="A108" s="10" t="inlineStr">
        <is>
          <t>2026-01-18 08:55:00</t>
        </is>
      </c>
      <c r="B108" s="26" t="n">
        <v>2065960.98</v>
      </c>
      <c r="C108" s="26">
        <f>MAX($B$2:B108)</f>
        <v/>
      </c>
      <c r="D108" s="13">
        <f>IFERROR((C108-B108)/C108,0)</f>
        <v/>
      </c>
    </row>
    <row r="109">
      <c r="A109" s="16" t="inlineStr">
        <is>
          <t>2026-01-18 11:55:00</t>
        </is>
      </c>
      <c r="B109" s="25" t="n">
        <v>2065960.98</v>
      </c>
      <c r="C109" s="25">
        <f>MAX($B$2:B109)</f>
        <v/>
      </c>
      <c r="D109" s="19">
        <f>IFERROR((C109-B109)/C109,0)</f>
        <v/>
      </c>
    </row>
    <row r="110">
      <c r="A110" s="10" t="inlineStr">
        <is>
          <t>2026-01-18 14:55:00</t>
        </is>
      </c>
      <c r="B110" s="26" t="n">
        <v>2065960.98</v>
      </c>
      <c r="C110" s="26">
        <f>MAX($B$2:B110)</f>
        <v/>
      </c>
      <c r="D110" s="13">
        <f>IFERROR((C110-B110)/C110,0)</f>
        <v/>
      </c>
    </row>
    <row r="111">
      <c r="A111" s="16" t="inlineStr">
        <is>
          <t>2026-01-18 17:55:00</t>
        </is>
      </c>
      <c r="B111" s="25" t="n">
        <v>2065960.98</v>
      </c>
      <c r="C111" s="25">
        <f>MAX($B$2:B111)</f>
        <v/>
      </c>
      <c r="D111" s="19">
        <f>IFERROR((C111-B111)/C111,0)</f>
        <v/>
      </c>
    </row>
    <row r="112">
      <c r="A112" s="10" t="inlineStr">
        <is>
          <t>2026-01-18 20:55:00</t>
        </is>
      </c>
      <c r="B112" s="26" t="n">
        <v>2065960.98</v>
      </c>
      <c r="C112" s="26">
        <f>MAX($B$2:B112)</f>
        <v/>
      </c>
      <c r="D112" s="13">
        <f>IFERROR((C112-B112)/C112,0)</f>
        <v/>
      </c>
    </row>
    <row r="113">
      <c r="A113" s="16" t="inlineStr">
        <is>
          <t>2026-01-18 23:55:00</t>
        </is>
      </c>
      <c r="B113" s="25" t="n">
        <v>2065960.98</v>
      </c>
      <c r="C113" s="25">
        <f>MAX($B$2:B113)</f>
        <v/>
      </c>
      <c r="D113" s="19">
        <f>IFERROR((C113-B113)/C113,0)</f>
        <v/>
      </c>
    </row>
    <row r="114">
      <c r="A114" s="10" t="inlineStr">
        <is>
          <t>2026-01-19 02:55:00</t>
        </is>
      </c>
      <c r="B114" s="26" t="n">
        <v>2065960.98</v>
      </c>
      <c r="C114" s="26">
        <f>MAX($B$2:B114)</f>
        <v/>
      </c>
      <c r="D114" s="13">
        <f>IFERROR((C114-B114)/C114,0)</f>
        <v/>
      </c>
    </row>
    <row r="115">
      <c r="A115" s="16" t="inlineStr">
        <is>
          <t>2026-01-19 05:55:00</t>
        </is>
      </c>
      <c r="B115" s="25" t="n">
        <v>2065960.98</v>
      </c>
      <c r="C115" s="25">
        <f>MAX($B$2:B115)</f>
        <v/>
      </c>
      <c r="D115" s="19">
        <f>IFERROR((C115-B115)/C115,0)</f>
        <v/>
      </c>
    </row>
    <row r="116">
      <c r="A116" s="10" t="inlineStr">
        <is>
          <t>2026-01-19 08:55:00</t>
        </is>
      </c>
      <c r="B116" s="26" t="n">
        <v>2837091.07</v>
      </c>
      <c r="C116" s="26">
        <f>MAX($B$2:B116)</f>
        <v/>
      </c>
      <c r="D116" s="13">
        <f>IFERROR((C116-B116)/C116,0)</f>
        <v/>
      </c>
    </row>
    <row r="117">
      <c r="A117" s="16" t="inlineStr">
        <is>
          <t>2026-01-19 11:55:00</t>
        </is>
      </c>
      <c r="B117" s="25" t="n">
        <v>3494282.06</v>
      </c>
      <c r="C117" s="25">
        <f>MAX($B$2:B117)</f>
        <v/>
      </c>
      <c r="D117" s="19">
        <f>IFERROR((C117-B117)/C117,0)</f>
        <v/>
      </c>
    </row>
    <row r="118">
      <c r="A118" s="10" t="inlineStr">
        <is>
          <t>2026-01-19 14:55:00</t>
        </is>
      </c>
      <c r="B118" s="26" t="n">
        <v>4144175.48</v>
      </c>
      <c r="C118" s="26">
        <f>MAX($B$2:B118)</f>
        <v/>
      </c>
      <c r="D118" s="13">
        <f>IFERROR((C118-B118)/C118,0)</f>
        <v/>
      </c>
    </row>
    <row r="119">
      <c r="A119" s="16" t="inlineStr">
        <is>
          <t>2026-01-19 16:25:00</t>
        </is>
      </c>
      <c r="B119" s="25" t="n">
        <v>4451183.98</v>
      </c>
      <c r="C119" s="25">
        <f>MAX($B$2:B119)</f>
        <v/>
      </c>
      <c r="D119" s="19">
        <f>IFERROR((C119-B119)/C119,0)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40" customWidth="1" min="3" max="3"/>
  </cols>
  <sheetData>
    <row r="1" ht="26" customHeight="1">
      <c r="A1" s="9" t="inlineStr">
        <is>
          <t>Parameter</t>
        </is>
      </c>
      <c r="B1" s="9" t="inlineStr">
        <is>
          <t>Value</t>
        </is>
      </c>
      <c r="C1" s="9" t="inlineStr">
        <is>
          <t>Source</t>
        </is>
      </c>
    </row>
    <row r="2">
      <c r="A2" s="10" t="inlineStr">
        <is>
          <t>Risk per trade — APPROVED</t>
        </is>
      </c>
      <c r="B2" s="10" t="inlineStr">
        <is>
          <t>1.25%</t>
        </is>
      </c>
      <c r="C2" s="10" t="inlineStr">
        <is>
          <t>Ch XI / Ch VIII-A</t>
        </is>
      </c>
    </row>
    <row r="3">
      <c r="A3" s="16" t="inlineStr">
        <is>
          <t>Risk per trade — ELITE</t>
        </is>
      </c>
      <c r="B3" s="16" t="inlineStr">
        <is>
          <t>2.0%</t>
        </is>
      </c>
      <c r="C3" s="16" t="inlineStr">
        <is>
          <t>Ch XI</t>
        </is>
      </c>
    </row>
    <row r="4">
      <c r="A4" s="10" t="inlineStr">
        <is>
          <t>Titan Entry cap</t>
        </is>
      </c>
      <c r="B4" s="10" t="inlineStr">
        <is>
          <t>0.5%</t>
        </is>
      </c>
      <c r="C4" s="10" t="inlineStr">
        <is>
          <t>Ch XII-B</t>
        </is>
      </c>
    </row>
    <row r="5">
      <c r="A5" s="16" t="inlineStr">
        <is>
          <t>Aggregate open risk cap</t>
        </is>
      </c>
      <c r="B5" s="16" t="inlineStr">
        <is>
          <t>5.0%</t>
        </is>
      </c>
      <c r="C5" s="16" t="inlineStr">
        <is>
          <t>Ch VIII-A hard limit</t>
        </is>
      </c>
    </row>
    <row r="6">
      <c r="A6" s="10" t="inlineStr">
        <is>
          <t>Minimum reward:risk</t>
        </is>
      </c>
      <c r="B6" s="10" t="inlineStr">
        <is>
          <t>2.0:1</t>
        </is>
      </c>
      <c r="C6" s="10" t="inlineStr">
        <is>
          <t>Ch VIII-A hard limit</t>
        </is>
      </c>
    </row>
    <row r="7">
      <c r="A7" s="16" t="inlineStr">
        <is>
          <t>Correlated position cap</t>
        </is>
      </c>
      <c r="B7" s="16" t="inlineStr">
        <is>
          <t>2</t>
        </is>
      </c>
      <c r="C7" s="16" t="inlineStr">
        <is>
          <t>Ch VIII-A</t>
        </is>
      </c>
    </row>
    <row r="8">
      <c r="A8" s="10" t="inlineStr">
        <is>
          <t>Daily loss limit</t>
        </is>
      </c>
      <c r="B8" s="10" t="inlineStr">
        <is>
          <t>3.0%</t>
        </is>
      </c>
      <c r="C8" s="10" t="inlineStr">
        <is>
          <t>Ch VIII-A / Ch XII-A5</t>
        </is>
      </c>
    </row>
    <row r="9">
      <c r="A9" s="16" t="inlineStr">
        <is>
          <t>Weekly loss limit</t>
        </is>
      </c>
      <c r="B9" s="16" t="inlineStr">
        <is>
          <t>6.0%</t>
        </is>
      </c>
      <c r="C9" s="16" t="inlineStr">
        <is>
          <t>Ch VIII-A / Ch XII-A5</t>
        </is>
      </c>
    </row>
    <row r="10">
      <c r="A10" s="10" t="inlineStr">
        <is>
          <t>Monthly DD trigger</t>
        </is>
      </c>
      <c r="B10" s="10" t="inlineStr">
        <is>
          <t>10.0%</t>
        </is>
      </c>
      <c r="C10" s="10" t="inlineStr">
        <is>
          <t>Ch VIII-A</t>
        </is>
      </c>
    </row>
    <row r="11">
      <c r="A11" s="16" t="inlineStr">
        <is>
          <t>Max DD ladder</t>
        </is>
      </c>
      <c r="B11" s="16" t="inlineStr">
        <is>
          <t>8.0/10.0/12.0%</t>
        </is>
      </c>
      <c r="C11" s="16" t="inlineStr">
        <is>
          <t>RMG s.05</t>
        </is>
      </c>
    </row>
    <row r="12">
      <c r="A12" s="10" t="inlineStr">
        <is>
          <t>Max DD basis</t>
        </is>
      </c>
      <c r="B12" s="10" t="inlineStr">
        <is>
          <t>trailing</t>
        </is>
      </c>
      <c r="C12" s="10" t="inlineStr">
        <is>
          <t>DERIVED</t>
        </is>
      </c>
    </row>
    <row r="13">
      <c r="A13" s="16" t="inlineStr">
        <is>
          <t>Confluence gate</t>
        </is>
      </c>
      <c r="B13" s="16" t="inlineStr">
        <is>
          <t>7/10</t>
        </is>
      </c>
      <c r="C13" s="16" t="inlineStr">
        <is>
          <t>Ch XI</t>
        </is>
      </c>
    </row>
    <row r="14">
      <c r="A14" s="10" t="inlineStr">
        <is>
          <t>ELITE threshold</t>
        </is>
      </c>
      <c r="B14" s="10" t="inlineStr">
        <is>
          <t>9/10</t>
        </is>
      </c>
      <c r="C14" s="10" t="inlineStr">
        <is>
          <t>Ch XI</t>
        </is>
      </c>
    </row>
    <row r="15">
      <c r="A15" s="16" t="inlineStr">
        <is>
          <t>Entry method</t>
        </is>
      </c>
      <c r="B15" s="16" t="inlineStr">
        <is>
          <t>B</t>
        </is>
      </c>
      <c r="C15" s="16" t="inlineStr">
        <is>
          <t>Ch VII firm default</t>
        </is>
      </c>
    </row>
    <row r="16">
      <c r="A16" s="10" t="inlineStr">
        <is>
          <t>Breakeven at</t>
        </is>
      </c>
      <c r="B16" s="10" t="inlineStr">
        <is>
          <t>1.0R</t>
        </is>
      </c>
      <c r="C16" s="10" t="inlineStr">
        <is>
          <t>Ch X-A</t>
        </is>
      </c>
    </row>
    <row r="17">
      <c r="A17" s="16" t="inlineStr">
        <is>
          <t>Trail from</t>
        </is>
      </c>
      <c r="B17" s="16" t="inlineStr">
        <is>
          <t>1.5R</t>
        </is>
      </c>
      <c r="C17" s="16" t="inlineStr">
        <is>
          <t>Ch X-A</t>
        </is>
      </c>
    </row>
    <row r="18">
      <c r="A18" s="10" t="inlineStr">
        <is>
          <t>TP ladder</t>
        </is>
      </c>
      <c r="B18" s="10" t="inlineStr">
        <is>
          <t>50%/30%/20%</t>
        </is>
      </c>
      <c r="C18" s="10" t="inlineStr">
        <is>
          <t>Ch X-B</t>
        </is>
      </c>
    </row>
    <row r="19">
      <c r="A19" s="16" t="inlineStr">
        <is>
          <t>Volume surge</t>
        </is>
      </c>
      <c r="B19" s="16" t="inlineStr">
        <is>
          <t>1.5x</t>
        </is>
      </c>
      <c r="C19" s="16" t="inlineStr">
        <is>
          <t>Ch V-A criterion 2</t>
        </is>
      </c>
    </row>
    <row r="20">
      <c r="A20" s="10" t="inlineStr">
        <is>
          <t>News blackout</t>
        </is>
      </c>
      <c r="B20" s="10" t="inlineStr">
        <is>
          <t>-30/+5 min</t>
        </is>
      </c>
      <c r="C20" s="10" t="inlineStr">
        <is>
          <t>Ch XII-A6 (inactive — no calendar)</t>
        </is>
      </c>
    </row>
    <row r="21">
      <c r="A21" s="16" t="inlineStr">
        <is>
          <t>Trend screens</t>
        </is>
      </c>
      <c r="B21" s="16" t="inlineStr">
        <is>
          <t>1D/1W</t>
        </is>
      </c>
      <c r="C21" s="16" t="inlineStr">
        <is>
          <t>Ch IX Screen 1</t>
        </is>
      </c>
    </row>
    <row r="22">
      <c r="A22" s="10" t="inlineStr">
        <is>
          <t>Pattern screens</t>
        </is>
      </c>
      <c r="B22" s="10" t="inlineStr">
        <is>
          <t>4H/1H</t>
        </is>
      </c>
      <c r="C22" s="10" t="inlineStr">
        <is>
          <t>Ch IX Screen 2</t>
        </is>
      </c>
    </row>
    <row r="23">
      <c r="A23" s="16" t="inlineStr">
        <is>
          <t>Entry screens</t>
        </is>
      </c>
      <c r="B23" s="16" t="inlineStr">
        <is>
          <t>15M/5M</t>
        </is>
      </c>
      <c r="C23" s="16" t="inlineStr">
        <is>
          <t>Ch IX Screen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2026-08-12T06:05:45Z</dcterms:created>
  <dcterms:modified xsi:type="dcterms:W3CDTF">2026-08-12T06:05:45Z</dcterms:modified>
</cp:coreProperties>
</file>